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isks" sheetId="1" state="visible" r:id="rId1"/>
  </sheets>
  <definedNames>
    <definedName name="_xlnm._FilterDatabase" localSheetId="0" hidden="1">'Risks'!$A$12:$N$50</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9"/>
    </font>
    <font>
      <name val="Arial"/>
      <b val="1"/>
      <sz val="10"/>
    </font>
    <font>
      <name val="Arial"/>
      <sz val="10"/>
    </font>
  </fonts>
  <fills count="4">
    <fill>
      <patternFill/>
    </fill>
    <fill>
      <patternFill patternType="gray125"/>
    </fill>
    <fill>
      <patternFill patternType="solid">
        <fgColor rgb="FFDDE3E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0" borderId="0" applyAlignment="1" pivotButton="0" quotePrefix="0" xfId="0">
      <alignment horizontal="left"/>
    </xf>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cellStyles>
  <dxfs count="9">
    <dxf>
      <fill>
        <patternFill patternType="solid">
          <fgColor rgb="FFE7E6E6"/>
        </patternFill>
      </fill>
    </dxf>
    <dxf>
      <fill>
        <patternFill patternType="solid">
          <fgColor rgb="FFC6E0B4"/>
        </patternFill>
      </fill>
    </dxf>
    <dxf>
      <fill>
        <patternFill patternType="solid">
          <fgColor rgb="FFFFE699"/>
        </patternFill>
      </fill>
    </dxf>
    <dxf>
      <fill>
        <patternFill patternType="solid">
          <fgColor rgb="FFF8CBAD"/>
        </patternFill>
      </fill>
    </dxf>
    <dxf>
      <font>
        <name val="Arial"/>
        <b val="1"/>
        <color rgb="FFC00000"/>
      </font>
    </dxf>
    <dxf>
      <fill>
        <patternFill patternType="solid">
          <fgColor rgb="00F8CBAD"/>
        </patternFill>
      </fill>
    </dxf>
    <dxf>
      <fill>
        <patternFill patternType="solid">
          <fgColor rgb="00FFE699"/>
        </patternFill>
      </fill>
    </dxf>
    <dxf>
      <fill>
        <patternFill patternType="solid">
          <fgColor rgb="00C6E0B4"/>
        </patternFill>
      </fill>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Claude</author>
  </authors>
  <commentList>
    <comment ref="B10" authorId="0" shapeId="0">
      <text>
        <t>Counts update automatically from the Status and Impact columns below.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64"/>
  <sheetViews>
    <sheetView tabSelected="1" workbookViewId="0">
      <pane xSplit="3" ySplit="12" topLeftCell="D26" activePane="bottomRight" state="frozen"/>
      <selection pane="topRight" activeCell="A1" sqref="A1"/>
      <selection pane="bottomLeft" activeCell="A1" sqref="A1"/>
      <selection pane="bottomRight" activeCell="C27" sqref="C27"/>
    </sheetView>
  </sheetViews>
  <sheetFormatPr baseColWidth="8" defaultRowHeight="14.4"/>
  <cols>
    <col width="6" customWidth="1" min="1" max="1"/>
    <col width="22" customWidth="1" min="2" max="2"/>
    <col width="52" customWidth="1" min="3" max="3"/>
    <col width="40" customWidth="1" min="4" max="4"/>
    <col width="16" customWidth="1" min="5" max="5"/>
    <col width="10" customWidth="1" min="6" max="6"/>
    <col width="9" customWidth="1" min="7" max="7"/>
    <col width="44" customWidth="1" min="8" max="8"/>
    <col width="32" customWidth="1" min="9" max="9"/>
    <col width="18" customWidth="1" min="10" max="11"/>
    <col width="11" customWidth="1" min="12" max="13"/>
    <col width="28" customWidth="1" min="14" max="14"/>
  </cols>
  <sheetData>
    <row r="1" ht="17.4" customHeight="1">
      <c r="A1" s="1" t="inlineStr">
        <is>
          <t>Parser &amp; annotation - risk tracker</t>
        </is>
      </c>
    </row>
    <row r="2">
      <c r="A2" s="2" t="inlineStr">
        <is>
          <t>Last updated 2026-09-16. Kept up to date in the chat as your tasks and the code change. Every figure was measured in the session or points at where it was.</t>
        </is>
      </c>
    </row>
    <row r="4">
      <c r="A4" s="3" t="inlineStr">
        <is>
          <t>Summary</t>
        </is>
      </c>
      <c r="D4" s="3" t="inlineStr">
        <is>
          <t>How to use</t>
        </is>
      </c>
    </row>
    <row r="5">
      <c r="A5" s="4" t="inlineStr">
        <is>
          <t>Open</t>
        </is>
      </c>
      <c r="B5" s="5">
        <f>COUNTIF($J$13:$J$64,"Open")</f>
        <v/>
      </c>
      <c r="D5" s="4" t="inlineStr">
        <is>
          <t>Yellow columns are yours to edit: Status, Next step by, Updated, Your notes.</t>
        </is>
      </c>
    </row>
    <row r="6">
      <c r="A6" s="4" t="inlineStr">
        <is>
          <t>Decision needed</t>
        </is>
      </c>
      <c r="B6" s="5">
        <f>COUNTIF($J$13:$J$64,"Decision needed")</f>
        <v/>
      </c>
      <c r="D6" s="4" t="inlineStr">
        <is>
          <t>Status: Open / Decision needed / Mitigated - verify after run / Mitigated - reuse at each cutover / Standing rule / Closed.</t>
        </is>
      </c>
    </row>
    <row r="7">
      <c r="A7" s="4" t="inlineStr">
        <is>
          <t>Mitigated - verify / reuse</t>
        </is>
      </c>
      <c r="B7" s="5">
        <f>COUNTIF($J$13:$J$64,"Mitigated*")</f>
        <v/>
      </c>
      <c r="D7" s="4" t="inlineStr">
        <is>
          <t>Measured = a number from a run in the session or the log. Reasoning = argued from a named source line, not measured.</t>
        </is>
      </c>
    </row>
    <row r="8">
      <c r="A8" s="4" t="inlineStr">
        <is>
          <t>Standing rule</t>
        </is>
      </c>
      <c r="B8" s="5">
        <f>COUNTIF($J$13:$J$64,"Standing rule")</f>
        <v/>
      </c>
      <c r="D8" s="4" t="inlineStr">
        <is>
          <t>Filter any column with the arrows in the header row.</t>
        </is>
      </c>
    </row>
    <row r="9">
      <c r="A9" s="4" t="inlineStr">
        <is>
          <t>Closed</t>
        </is>
      </c>
      <c r="B9" s="5">
        <f>COUNTIF($J$13:$J$64,"Closed")</f>
        <v/>
      </c>
    </row>
    <row r="10">
      <c r="A10" s="4" t="inlineStr">
        <is>
          <t>Open with High impact</t>
        </is>
      </c>
      <c r="B10" s="5">
        <f>COUNTIFS($J$13:$J$59,"Open",$G$13:$G$59,"High")</f>
        <v/>
      </c>
    </row>
    <row r="11">
      <c r="A11" s="4" t="inlineStr">
        <is>
          <t>Total</t>
        </is>
      </c>
      <c r="B11" s="5">
        <f>COUNTA($A$13:$A$59)</f>
        <v/>
      </c>
    </row>
    <row r="12" ht="26.4" customHeight="1">
      <c r="A12" s="6" t="inlineStr">
        <is>
          <t>ID</t>
        </is>
      </c>
      <c r="B12" s="6" t="inlineStr">
        <is>
          <t>Area</t>
        </is>
      </c>
      <c r="C12" s="6" t="inlineStr">
        <is>
          <t>Risk</t>
        </is>
      </c>
      <c r="D12" s="6" t="inlineStr">
        <is>
          <t>Evidence / source</t>
        </is>
      </c>
      <c r="E12" s="6" t="inlineStr">
        <is>
          <t>Measured or reasoning</t>
        </is>
      </c>
      <c r="F12" s="6" t="inlineStr">
        <is>
          <t>Likelihood</t>
        </is>
      </c>
      <c r="G12" s="6" t="inlineStr">
        <is>
          <t>Impact</t>
        </is>
      </c>
      <c r="H12" s="6" t="inlineStr">
        <is>
          <t>Mitigation / suggestion</t>
        </is>
      </c>
      <c r="I12" s="6" t="inlineStr">
        <is>
          <t>How to check</t>
        </is>
      </c>
      <c r="J12" s="6" t="inlineStr">
        <is>
          <t>Status</t>
        </is>
      </c>
      <c r="K12" s="6" t="inlineStr">
        <is>
          <t>Next step by</t>
        </is>
      </c>
      <c r="L12" s="6" t="inlineStr">
        <is>
          <t>Raised</t>
        </is>
      </c>
      <c r="M12" s="6" t="inlineStr">
        <is>
          <t>Updated</t>
        </is>
      </c>
      <c r="N12" s="6" t="inlineStr">
        <is>
          <t>Your notes</t>
        </is>
      </c>
    </row>
    <row r="13" ht="52.8" customHeight="1">
      <c r="A13" s="7" t="inlineStr">
        <is>
          <t>A1</t>
        </is>
      </c>
      <c r="B13" s="7" t="inlineStr">
        <is>
          <t>Manual annotation -&gt; new _SITES</t>
        </is>
      </c>
      <c r="C13" s="7" t="inlineStr">
        <is>
          <t>INPUT_OP is defined as 'on the right-hand side of &lt;=', so an element in the CONDITION of a when...else gets tagged as a value input. Line 64: rden in 'when (rden = '1')' decides whether rdata passes; it is never part of the value.</t>
        </is>
      </c>
      <c r="D13" s="7" t="inlineStr">
        <is>
          <t>v6 parse: 47% of elements in a when...else condition got a value edge instead of a governing one (measured 2026-09-05, n=47). First live case in the profiles: rden at line 64 (step 41), left '(to tag)' - INPUT_OP fits its wording, COND is if/elsif only. Line 64 is now profiled from both slots: rdata in the &lt;EXPRESSION&gt; is tagged INPUT_OP (step 47); rden in the &lt;CONDITION&gt; is left (to tag) (step 41). Same line, same side of &lt;=, two different roles.</t>
        </is>
      </c>
      <c r="E13" s="7" t="inlineStr">
        <is>
          <t>Measured</t>
        </is>
      </c>
      <c r="F13" s="7" t="inlineStr">
        <is>
          <t>High</t>
        </is>
      </c>
      <c r="G13" s="7" t="inlineStr">
        <is>
          <t>High</t>
        </is>
      </c>
      <c r="H13" s="7" t="inlineStr">
        <is>
          <t>Define sites by SLOT, not by side of &lt;=. Your basics already name the slots: &lt;EXPRESSION&gt; and &lt;ALTERNATIVE&gt; are value inputs, &lt;CONDITION&gt; is a condition site.</t>
        </is>
      </c>
      <c r="I13" s="7" t="inlineStr">
        <is>
          <t>After the next parse: when...else value-edge rate below 47%.</t>
        </is>
      </c>
      <c r="J13" s="8" t="inlineStr">
        <is>
          <t>Open</t>
        </is>
      </c>
      <c r="K13" s="8" t="inlineStr">
        <is>
          <t>You - after boot_rom occurrence profiles are complete</t>
        </is>
      </c>
      <c r="L13" s="7" t="inlineStr">
        <is>
          <t>2026-09-11</t>
        </is>
      </c>
      <c r="M13" s="8" t="inlineStr">
        <is>
          <t>2026-09-11</t>
        </is>
      </c>
      <c r="N13" s="8" t="n"/>
    </row>
    <row r="14" ht="52.8" customHeight="1">
      <c r="A14" s="7" t="inlineStr">
        <is>
          <t>A2</t>
        </is>
      </c>
      <c r="B14" s="7" t="inlineStr">
        <is>
          <t>Manual annotation -&gt; new _SITES</t>
        </is>
      </c>
      <c r="C14" s="7" t="inlineStr">
        <is>
          <t>INPUT_OP cannot tell a value input from an INDEX. Line 48: bus_req_i.addr picks which ROM word is read; rdata's value comes from mem_rom_c. The edge step needs this to choose SOURCES versus SELECTS.</t>
        </is>
      </c>
      <c r="D14" s="7" t="inlineStr">
        <is>
          <t>boot_rom line 48. Your context column records 'used as a location ... array lookup'; the tag does not. Line 48 is now profiled from both sides: bus_req_i as the address (step 24) and rdata as the target of the indexed read (step 46). The new indexed-name basic records that the index decides which item is read and is not part of the value.</t>
        </is>
      </c>
      <c r="E14" s="7" t="inlineStr">
        <is>
          <t>Reasoning (anchored to line 48)</t>
        </is>
      </c>
      <c r="F14" s="7" t="inlineStr">
        <is>
          <t>High</t>
        </is>
      </c>
      <c r="G14" s="7" t="inlineStr">
        <is>
          <t>Medium</t>
        </is>
      </c>
      <c r="H14" s="7" t="inlineStr">
        <is>
          <t>Add an index site (and a slice site for 'downto 2'), or make the context a fixed value rather than prose.</t>
        </is>
      </c>
      <c r="I14" s="7" t="inlineStr">
        <is>
          <t>Hand-check line 48's edge after the edge step; SELECTS count in the parse.</t>
        </is>
      </c>
      <c r="J14" s="8" t="inlineStr">
        <is>
          <t>Open</t>
        </is>
      </c>
      <c r="K14" s="8" t="inlineStr">
        <is>
          <t>You - after boot_rom occurrence profiles are complete</t>
        </is>
      </c>
      <c r="L14" s="7" t="inlineStr">
        <is>
          <t>2026-09-11</t>
        </is>
      </c>
      <c r="M14" s="8" t="inlineStr">
        <is>
          <t>2026-09-11</t>
        </is>
      </c>
      <c r="N14" s="8" t="n"/>
    </row>
    <row r="15" ht="52.8" customHeight="1">
      <c r="A15" s="7" t="inlineStr">
        <is>
          <t>A3</t>
        </is>
      </c>
      <c r="B15" s="7" t="inlineStr">
        <is>
          <t>Manual annotation -&gt; new _SITES</t>
        </is>
      </c>
      <c r="C15" s="7" t="inlineStr">
        <is>
          <t>No site yet for the TARGET (left of &lt;=), and no marker for which branch it sits in. Without both, the edge step cannot separate CAPTURES (clock-edge branch), RESETS (reset branch) and DERIVES_FROM (outside any process).</t>
        </is>
      </c>
      <c r="D15" s="7" t="inlineStr">
        <is>
          <t>DECIDED 2026-09-14: the target sites are LHS_PROC (inside a process block) and LHS_COMB (concurrent, outside every process). Which branch a LHS_PROC target sits in - edge-tested, IF_COND, or none - is read later from the context lines, not from the site. Targets in boot_rom: rdata line 48, rden lines 58 and 60 are LHS_PROC; bus_rsp_o.data/.ack/.err lines 64-66 are LHS_COMB.</t>
        </is>
      </c>
      <c r="E15" s="7" t="inlineStr">
        <is>
          <t>Reasoning (anchored)</t>
        </is>
      </c>
      <c r="F15" s="7" t="inlineStr">
        <is>
          <t>High</t>
        </is>
      </c>
      <c r="G15" s="7" t="inlineStr">
        <is>
          <t>High</t>
        </is>
      </c>
      <c r="H15" s="7" t="inlineStr">
        <is>
          <t>Make the context column record the line span of every enclosing branch, so the later stage can tell a clock-edge branch from an IF_COND branch from none. Without the spans, LHS_PROC alone cannot separate a stored target from a combinational-process one.</t>
        </is>
      </c>
      <c r="I15" s="7" t="inlineStr">
        <is>
          <t>Profile rdata and rden by hand; each should map to exactly one receiving-end edge.</t>
        </is>
      </c>
      <c r="J15" s="8" t="inlineStr">
        <is>
          <t>Open</t>
        </is>
      </c>
      <c r="K15" s="8" t="inlineStr">
        <is>
          <t>You - after boot_rom occurrence profiles are complete</t>
        </is>
      </c>
      <c r="L15" s="7" t="inlineStr">
        <is>
          <t>2026-09-11</t>
        </is>
      </c>
      <c r="M15" s="8" t="inlineStr">
        <is>
          <t>2026-09-11</t>
        </is>
      </c>
      <c r="N15" s="8" t="n"/>
    </row>
    <row r="16" ht="39.6" customHeight="1">
      <c r="A16" s="7" t="inlineStr">
        <is>
          <t>A4</t>
        </is>
      </c>
      <c r="B16" s="7" t="inlineStr">
        <is>
          <t>Manual annotation -&gt; new _SITES</t>
        </is>
      </c>
      <c r="C16" s="7" t="inlineStr">
        <is>
          <t>The reset test is not marked. COND at line 57 is correct, but nothing in the row says it is the reset test, so RESETS versus GATES cannot be decided from the tag.</t>
        </is>
      </c>
      <c r="D16" s="7" t="inlineStr">
        <is>
          <t>DECIDED 2026-09-14: RESET_TEST replaced by the structural site IF_COND; a reset is inferred later from IF_COND + PROCESS_TRIG in the same process + an EDGE_CHECK after it. Tested on the 18 files: 62 async-reset branches, all assign only fixed values and all have the condition in the sensitivity list, so the rule catches 62 of 62 with 0 async loads to confuse it. It misses synchronous resets by construction: 6 plain conditions inside a clocked branch assign only fixed values, including a real one (rstn_dbg_i) and synchronous clears on enable, but also a plain state-decode flag that is no reset.</t>
        </is>
      </c>
      <c r="E16" s="7" t="inlineStr">
        <is>
          <t>Reasoning (anchored)</t>
        </is>
      </c>
      <c r="F16" s="7" t="inlineStr">
        <is>
          <t>High</t>
        </is>
      </c>
      <c r="G16" s="7" t="inlineStr">
        <is>
          <t>Medium</t>
        </is>
      </c>
      <c r="H16" s="7" t="inlineStr">
        <is>
          <t>Keep the rule for asynchronous resets. Decide separately what a synchronous reset becomes: it has no structural mark that separates it from any other fixed-value assignment in a clocked branch. Use the shared if-block span from the context column rather than line order alone.</t>
        </is>
      </c>
      <c r="I16" s="7" t="inlineStr">
        <is>
          <t>rstn_i should come out RESETS, never GATES.</t>
        </is>
      </c>
      <c r="J16" s="8" t="inlineStr">
        <is>
          <t>Open</t>
        </is>
      </c>
      <c r="K16" s="8" t="inlineStr">
        <is>
          <t>You - after boot_rom occurrence profiles are complete</t>
        </is>
      </c>
      <c r="L16" s="7" t="inlineStr">
        <is>
          <t>2026-09-11</t>
        </is>
      </c>
      <c r="M16" s="8" t="inlineStr">
        <is>
          <t>2026-09-11</t>
        </is>
      </c>
      <c r="N16" s="8" t="n"/>
    </row>
    <row r="17" ht="39.6" customHeight="1">
      <c r="A17" s="7" t="inlineStr">
        <is>
          <t>A5</t>
        </is>
      </c>
      <c r="B17" s="7" t="inlineStr">
        <is>
          <t>Manual annotation -&gt; new _SITES</t>
        </is>
      </c>
      <c r="C17" s="7" t="inlineStr">
        <is>
          <t>DECL is defined for port declarations only. Signal declarations and record fields whose type is declared outside the file have no DECL rule.</t>
        </is>
      </c>
      <c r="D17" s="7" t="inlineStr">
        <is>
          <t>rden and rdata are 'signal' declarations (lines 38-39). bus_req_t is declared in neorv32_package, not in boot_rom.</t>
        </is>
      </c>
      <c r="E17" s="7" t="inlineStr">
        <is>
          <t>Reasoning (anchored)</t>
        </is>
      </c>
      <c r="F17" s="7" t="inlineStr">
        <is>
          <t>High</t>
        </is>
      </c>
      <c r="G17" s="7" t="inlineStr">
        <is>
          <t>Low</t>
        </is>
      </c>
      <c r="H17" s="7" t="inlineStr">
        <is>
          <t>Extend DECL to 'signal' declarations. State where a field's DECL is: the port or signal of that record type (line 23 for bus_req_i.*).</t>
        </is>
      </c>
      <c r="I17" s="7" t="inlineStr">
        <is>
          <t>Every closed-set entry has a DECL row, including the 9 unused bus_req_i fields.</t>
        </is>
      </c>
      <c r="J17" s="8" t="inlineStr">
        <is>
          <t>Open</t>
        </is>
      </c>
      <c r="K17" s="8" t="inlineStr">
        <is>
          <t>You - after boot_rom occurrence profiles are complete</t>
        </is>
      </c>
      <c r="L17" s="7" t="inlineStr">
        <is>
          <t>2026-09-11</t>
        </is>
      </c>
      <c r="M17" s="8" t="inlineStr">
        <is>
          <t>2026-09-11</t>
        </is>
      </c>
      <c r="N17" s="8" t="n"/>
    </row>
    <row r="18" ht="52.8" customHeight="1">
      <c r="A18" s="7" t="inlineStr">
        <is>
          <t>A6</t>
        </is>
      </c>
      <c r="B18" s="7" t="inlineStr">
        <is>
          <t>Manual annotation -&gt; new _SITES</t>
        </is>
      </c>
      <c r="C18" s="7" t="inlineStr">
        <is>
          <t>The name EDGE_GUARD collides with the parser's 'guard' output field, which means the LEVEL test on a governing edge, e.g. (rstn_i = '0') - nearly the opposite. VHDL also has its own 'guard' keyword.</t>
        </is>
      </c>
      <c r="D18" s="7" t="inlineStr">
        <is>
          <t>v6 already copied site names into edge types 7 times (PORT_MAP x5, RESET_BRANCH x2).</t>
        </is>
      </c>
      <c r="E18" s="7" t="inlineStr">
        <is>
          <t>Measured (the leak); reasoning (this name)</t>
        </is>
      </c>
      <c r="F18" s="7" t="inlineStr">
        <is>
          <t>Medium</t>
        </is>
      </c>
      <c r="G18" s="7" t="inlineStr">
        <is>
          <t>Medium</t>
        </is>
      </c>
      <c r="H18" s="7" t="inlineStr">
        <is>
          <t>Rename before it enters the prompt, e.g. CLOCK_EDGE.</t>
        </is>
      </c>
      <c r="I18" s="7" t="inlineStr">
        <is>
          <t>unknown_edge near 0; 'guard' values contain level tests only.</t>
        </is>
      </c>
      <c r="J18" s="8" t="inlineStr">
        <is>
          <t>Open</t>
        </is>
      </c>
      <c r="K18" s="8" t="inlineStr">
        <is>
          <t>You - after boot_rom occurrence profiles are complete</t>
        </is>
      </c>
      <c r="L18" s="7" t="inlineStr">
        <is>
          <t>2026-09-11</t>
        </is>
      </c>
      <c r="M18" s="8" t="inlineStr">
        <is>
          <t>2026-09-11</t>
        </is>
      </c>
      <c r="N18" s="8" t="n"/>
    </row>
    <row r="19" ht="26.4" customHeight="1">
      <c r="A19" s="7" t="inlineStr">
        <is>
          <t>A7</t>
        </is>
      </c>
      <c r="B19" s="7" t="inlineStr">
        <is>
          <t>Manual annotation -&gt; new _SITES</t>
        </is>
      </c>
      <c r="C19" s="7" t="inlineStr">
        <is>
          <t>Site names leak into the output 'type' field when the two vocabularies look alike.</t>
        </is>
      </c>
      <c r="D19" s="7" t="inlineStr">
        <is>
          <t>v6: 7 site names came back as edge types (measured 2026-09-05).</t>
        </is>
      </c>
      <c r="E19" s="7" t="inlineStr">
        <is>
          <t>Measured</t>
        </is>
      </c>
      <c r="F19" s="7" t="inlineStr">
        <is>
          <t>Medium</t>
        </is>
      </c>
      <c r="G19" s="7" t="inlineStr">
        <is>
          <t>Medium</t>
        </is>
      </c>
      <c r="H19" s="7" t="inlineStr">
        <is>
          <t>Keep every site name visibly different from every edge name and every output field name.</t>
        </is>
      </c>
      <c r="I19" s="7" t="inlineStr">
        <is>
          <t>unknown_edge after the next parse (v6 = 7; v5 = 1).</t>
        </is>
      </c>
      <c r="J19" s="8" t="inlineStr">
        <is>
          <t>Open</t>
        </is>
      </c>
      <c r="K19" s="8" t="inlineStr">
        <is>
          <t>You - after boot_rom occurrence profiles are complete</t>
        </is>
      </c>
      <c r="L19" s="7" t="inlineStr">
        <is>
          <t>2026-09-11</t>
        </is>
      </c>
      <c r="M19" s="8" t="inlineStr">
        <is>
          <t>2026-09-11</t>
        </is>
      </c>
      <c r="N19" s="8" t="n"/>
    </row>
    <row r="20" ht="52.8" customHeight="1">
      <c r="A20" s="7" t="inlineStr">
        <is>
          <t>A8</t>
        </is>
      </c>
      <c r="B20" s="7" t="inlineStr">
        <is>
          <t>Manual annotation -&gt; new _SITES</t>
        </is>
      </c>
      <c r="C20" s="7" t="inlineStr">
        <is>
          <t>The current _SITES text states conclusions in edge vocabulary, so the model gets two sources of edge cues that can disagree.</t>
        </is>
      </c>
      <c r="D20" s="7" t="inlineStr">
        <is>
          <t>5 lines in _SITES contain edge words: 'partly gates', 'sources it ... gate it', 'the reset element OVERRIDES it' (a different edge's name for a reset), 'bit-select' (measured 2026-09-11).</t>
        </is>
      </c>
      <c r="E20" s="7" t="inlineStr">
        <is>
          <t>Measured</t>
        </is>
      </c>
      <c r="F20" s="7" t="inlineStr">
        <is>
          <t>High</t>
        </is>
      </c>
      <c r="G20" s="7" t="inlineStr">
        <is>
          <t>Medium</t>
        </is>
      </c>
      <c r="H20" s="7" t="inlineStr">
        <is>
          <t>Replace with your syntax-only site definitions: where and in what, never a conclusion.</t>
        </is>
      </c>
      <c r="I20" s="7" t="inlineStr">
        <is>
          <t>No edge-type word inside the new _SITES (re-run the search).</t>
        </is>
      </c>
      <c r="J20" s="8" t="inlineStr">
        <is>
          <t>Open</t>
        </is>
      </c>
      <c r="K20" s="8" t="inlineStr">
        <is>
          <t>You + me (prompt edit) - after boot_rom occurrence profiles are complete</t>
        </is>
      </c>
      <c r="L20" s="7" t="inlineStr">
        <is>
          <t>2026-09-11</t>
        </is>
      </c>
      <c r="M20" s="8" t="inlineStr">
        <is>
          <t>2026-09-11</t>
        </is>
      </c>
      <c r="N20" s="8" t="n"/>
    </row>
    <row r="21" ht="39.6" customHeight="1">
      <c r="A21" s="7" t="inlineStr">
        <is>
          <t>A9</t>
        </is>
      </c>
      <c r="B21" s="7" t="inlineStr">
        <is>
          <t>Manual annotation -&gt; new _SITES</t>
        </is>
      </c>
      <c r="C21" s="7" t="inlineStr">
        <is>
          <t>Profiles have no COUNTERPART column, so a row cannot become an edge without re-reading the statement. An edge needs a target.</t>
        </is>
      </c>
      <c r="D21" s="7" t="inlineStr">
        <is>
          <t>clk_i at line 47: the counterpart is rdata. Current STEP 2 already asks for 'its site and its counterparts'.</t>
        </is>
      </c>
      <c r="E21" s="7" t="inlineStr">
        <is>
          <t>Reasoning (anchored)</t>
        </is>
      </c>
      <c r="F21" s="7" t="inlineStr">
        <is>
          <t>High</t>
        </is>
      </c>
      <c r="G21" s="7" t="inlineStr">
        <is>
          <t>Medium</t>
        </is>
      </c>
      <c r="H21" s="7" t="inlineStr">
        <is>
          <t>Add a counterpart column to the profile table.</t>
        </is>
      </c>
      <c r="I21" s="7" t="inlineStr">
        <is>
          <t>Every non-DECL row names at least one counterpart, or says 'none'.</t>
        </is>
      </c>
      <c r="J21" s="8" t="inlineStr">
        <is>
          <t>Open</t>
        </is>
      </c>
      <c r="K21" s="8" t="inlineStr">
        <is>
          <t>You - later, after the occurrence profiles</t>
        </is>
      </c>
      <c r="L21" s="7" t="inlineStr">
        <is>
          <t>2026-09-11</t>
        </is>
      </c>
      <c r="M21" s="8" t="inlineStr">
        <is>
          <t>2026-09-11</t>
        </is>
      </c>
      <c r="N21" s="8" t="n"/>
    </row>
    <row r="22" ht="52.8" customHeight="1">
      <c r="A22" s="7" t="inlineStr">
        <is>
          <t>A10</t>
        </is>
      </c>
      <c r="B22" s="7" t="inlineStr">
        <is>
          <t>Manual annotation -&gt; new _SITES</t>
        </is>
      </c>
      <c r="C22" s="7" t="inlineStr">
        <is>
          <t>No rule for which closed-set entry owns an occurrence of a record field. Line 48 is filed under bus_req_i, but bus_req_i.addr is its own entry. Risk: counted twice, or the field's own profile left empty.</t>
        </is>
      </c>
      <c r="D22" s="7" t="inlineStr">
        <is>
          <t>Step 29 table, line 48 row.</t>
        </is>
      </c>
      <c r="E22" s="7" t="inlineStr">
        <is>
          <t>Reasoning (anchored)</t>
        </is>
      </c>
      <c r="F22" s="7" t="inlineStr">
        <is>
          <t>Medium</t>
        </is>
      </c>
      <c r="G22" s="7" t="inlineStr">
        <is>
          <t>Medium</t>
        </is>
      </c>
      <c r="H22" s="7" t="inlineStr">
        <is>
          <t>State the rule, e.g. the field owns the use; the base gets a REC_OBJ row pointing to the field.</t>
        </is>
      </c>
      <c r="I22" s="7" t="inlineStr">
        <is>
          <t>bus_req_i.addr has its own non-empty profile.</t>
        </is>
      </c>
      <c r="J22" s="8" t="inlineStr">
        <is>
          <t>Open</t>
        </is>
      </c>
      <c r="K22" s="8" t="inlineStr">
        <is>
          <t>You - after boot_rom occurrence profiles are complete</t>
        </is>
      </c>
      <c r="L22" s="7" t="inlineStr">
        <is>
          <t>2026-09-11</t>
        </is>
      </c>
      <c r="M22" s="8" t="inlineStr">
        <is>
          <t>2026-09-11</t>
        </is>
      </c>
      <c r="N22" s="8" t="n"/>
    </row>
    <row r="23" ht="39.6" customHeight="1">
      <c r="A23" s="7" t="inlineStr">
        <is>
          <t>A11</t>
        </is>
      </c>
      <c r="B23" s="7" t="inlineStr">
        <is>
          <t>Manual annotation -&gt; new _SITES</t>
        </is>
      </c>
      <c r="C23" s="7" t="inlineStr">
        <is>
          <t>'Sequential' means two things in the basics: sequential STATEMENTS (any process body) and a 'sequential process' (a clocked one). Copied into the prompt, it confuses.</t>
        </is>
      </c>
      <c r="D23" s="7" t="inlineStr">
        <is>
          <t>annotation_process.md, basics section.</t>
        </is>
      </c>
      <c r="E23" s="7" t="inlineStr">
        <is>
          <t>Reasoning</t>
        </is>
      </c>
      <c r="F23" s="7" t="inlineStr">
        <is>
          <t>Medium</t>
        </is>
      </c>
      <c r="G23" s="7" t="inlineStr">
        <is>
          <t>Low</t>
        </is>
      </c>
      <c r="H23" s="7" t="inlineStr">
        <is>
          <t>Use 'clocked process' and 'combinational process'.</t>
        </is>
      </c>
      <c r="I23" s="7" t="inlineStr">
        <is>
          <t>Read the final site definitions for the word 'sequential'.</t>
        </is>
      </c>
      <c r="J23" s="8" t="inlineStr">
        <is>
          <t>Open</t>
        </is>
      </c>
      <c r="K23" s="8" t="inlineStr">
        <is>
          <t>You - after boot_rom occurrence profiles are complete</t>
        </is>
      </c>
      <c r="L23" s="7" t="inlineStr">
        <is>
          <t>2026-09-11</t>
        </is>
      </c>
      <c r="M23" s="8" t="inlineStr">
        <is>
          <t>2026-09-11</t>
        </is>
      </c>
      <c r="N23" s="8" t="n"/>
    </row>
    <row r="24" ht="39.6" customHeight="1">
      <c r="A24" s="7" t="inlineStr">
        <is>
          <t>A12</t>
        </is>
      </c>
      <c r="B24" s="7" t="inlineStr">
        <is>
          <t>Manual annotation -&gt; new _SITES</t>
        </is>
      </c>
      <c r="C24" s="7" t="inlineStr">
        <is>
          <t>'&lt;=' is also less-than-or-equal. A definition that says '&lt;= means assignment' mis-tags a comparison such as if (a &lt;= b).</t>
        </is>
      </c>
      <c r="D24" s="7" t="inlineStr">
        <is>
          <t>0 such comparisons in these 18 files (regex, self-tested on 4 hand-read lines, 2026-09-11). A risk for other designs, not this corpus.</t>
        </is>
      </c>
      <c r="E24" s="7" t="inlineStr">
        <is>
          <t>Measured (0 here)</t>
        </is>
      </c>
      <c r="F24" s="7" t="inlineStr">
        <is>
          <t>Low</t>
        </is>
      </c>
      <c r="G24" s="7" t="inlineStr">
        <is>
          <t>Medium</t>
        </is>
      </c>
      <c r="H24" s="7" t="inlineStr">
        <is>
          <t>Define assignment by statement position, not by the token.</t>
        </is>
      </c>
      <c r="I24" s="7" t="inlineStr">
        <is>
          <t>Only if the corpus changes.</t>
        </is>
      </c>
      <c r="J24" s="8" t="inlineStr">
        <is>
          <t>Open</t>
        </is>
      </c>
      <c r="K24" s="8" t="inlineStr">
        <is>
          <t>You - after boot_rom occurrence profiles are complete</t>
        </is>
      </c>
      <c r="L24" s="7" t="inlineStr">
        <is>
          <t>2026-09-11</t>
        </is>
      </c>
      <c r="M24" s="8" t="inlineStr">
        <is>
          <t>2026-09-11</t>
        </is>
      </c>
      <c r="N24" s="8" t="n"/>
    </row>
    <row r="25" ht="52.8" customHeight="1">
      <c r="A25" s="7" t="inlineStr">
        <is>
          <t>A13</t>
        </is>
      </c>
      <c r="B25" s="7" t="inlineStr">
        <is>
          <t>Manual annotation -&gt; new _SITES</t>
        </is>
      </c>
      <c r="C25" s="7" t="inlineStr">
        <is>
          <t>The site vocabulary is being designed from boot_rom alone, which has 4 of the 14 construct types. Sites frozen now would miss case, port map, generate, for loop, array types and variables.</t>
        </is>
      </c>
      <c r="D25" s="7" t="inlineStr">
        <is>
          <t>boot_rom: clocked process, async reset, slice, when/else. trng and cache add the rest (measured 2026-09-09).</t>
        </is>
      </c>
      <c r="E25" s="7" t="inlineStr">
        <is>
          <t>Measured</t>
        </is>
      </c>
      <c r="F25" s="7" t="inlineStr">
        <is>
          <t>High</t>
        </is>
      </c>
      <c r="G25" s="7" t="inlineStr">
        <is>
          <t>High</t>
        </is>
      </c>
      <c r="H25" s="7" t="inlineStr">
        <is>
          <t>Finish trng and cache before freezing the site list.</t>
        </is>
      </c>
      <c r="I25" s="7" t="inlineStr">
        <is>
          <t>Every construct in the pack cover table has at least one site.</t>
        </is>
      </c>
      <c r="J25" s="8" t="inlineStr">
        <is>
          <t>Open</t>
        </is>
      </c>
      <c r="K25" s="8" t="inlineStr">
        <is>
          <t>You (process)</t>
        </is>
      </c>
      <c r="L25" s="7" t="inlineStr">
        <is>
          <t>2026-09-11</t>
        </is>
      </c>
      <c r="M25" s="8" t="inlineStr">
        <is>
          <t>2026-09-11</t>
        </is>
      </c>
      <c r="N25" s="8" t="n"/>
    </row>
    <row r="26" ht="39.6" customHeight="1">
      <c r="A26" s="7" t="inlineStr">
        <is>
          <t>A14</t>
        </is>
      </c>
      <c r="B26" s="7" t="inlineStr">
        <is>
          <t>Manual annotation -&gt; new _SITES</t>
        </is>
      </c>
      <c r="C26" s="7" t="inlineStr">
        <is>
          <t>OVERRIDES does not appear in any of the three pack files, so its site pattern cannot be designed or checked by hand. Its definition is also under-specified against GATES (log 4.19-H).</t>
        </is>
      </c>
      <c r="D26" s="7" t="inlineStr">
        <is>
          <t>3 OVERRIDES edges in the whole v6 parse (measured 2026-09-05).</t>
        </is>
      </c>
      <c r="E26" s="7" t="inlineStr">
        <is>
          <t>Measured</t>
        </is>
      </c>
      <c r="F26" s="7" t="inlineStr">
        <is>
          <t>High</t>
        </is>
      </c>
      <c r="G26" s="7" t="inlineStr">
        <is>
          <t>Medium</t>
        </is>
      </c>
      <c r="H26" s="7" t="inlineStr">
        <is>
          <t>Treat OVERRIDES as untested by the manual pass. Pick one real example from another module if one exists, or leave the definition as an open item.</t>
        </is>
      </c>
      <c r="I26" s="7" t="inlineStr">
        <is>
          <t>OVERRIDES count after each parse.</t>
        </is>
      </c>
      <c r="J26" s="8" t="inlineStr">
        <is>
          <t>Decision needed</t>
        </is>
      </c>
      <c r="K26" s="8" t="inlineStr">
        <is>
          <t>You</t>
        </is>
      </c>
      <c r="L26" s="7" t="inlineStr">
        <is>
          <t>2026-09-11</t>
        </is>
      </c>
      <c r="M26" s="8" t="inlineStr">
        <is>
          <t>2026-09-11</t>
        </is>
      </c>
      <c r="N26" s="8" t="n"/>
    </row>
    <row r="27" ht="52.8" customHeight="1">
      <c r="A27" s="7" t="inlineStr">
        <is>
          <t>B1</t>
        </is>
      </c>
      <c r="B27" s="7" t="inlineStr">
        <is>
          <t>Nested record input (concern 3)</t>
        </is>
      </c>
      <c r="C27" s="7" t="inlineStr">
        <is>
          <t>If the input is nested and the model ANSWERS nested, the driver's flat lookup (entity, 'bus_req_i.addr') misses every field. Every field is then counted 'missing' and the run looks like a mass drop.</t>
        </is>
      </c>
      <c r="D27" s="7" t="inlineStr">
        <is>
          <t>_assemble keys annotations by (entity, dotted name). Fields are 71% of boot_rom, 41% of trng, 63% of cache (measured 2026-09-11).</t>
        </is>
      </c>
      <c r="E27" s="7" t="inlineStr">
        <is>
          <t>Measured (scope); reasoning (failure)</t>
        </is>
      </c>
      <c r="F27" s="7" t="inlineStr">
        <is>
          <t>Medium</t>
        </is>
      </c>
      <c r="G27" s="7" t="inlineStr">
        <is>
          <t>High</t>
        </is>
      </c>
      <c r="H27" s="7" t="inlineStr">
        <is>
          <t>Nest the INPUT only. Say in the prompt that output names stay flat and dotted. Or flatten the model's answer in the driver (reshaping only, no content change).</t>
        </is>
      </c>
      <c r="I27" s="7" t="inlineStr">
        <is>
          <t>'missing' counter = 0 after the run.</t>
        </is>
      </c>
      <c r="J27" s="8" t="inlineStr">
        <is>
          <t>Open</t>
        </is>
      </c>
      <c r="K27" s="8" t="inlineStr">
        <is>
          <t>You - later (deferred 2026-09-11)</t>
        </is>
      </c>
      <c r="L27" s="7" t="inlineStr">
        <is>
          <t>2026-09-11</t>
        </is>
      </c>
      <c r="M27" s="8" t="inlineStr">
        <is>
          <t>2026-09-11</t>
        </is>
      </c>
      <c r="N27" s="8" t="n"/>
    </row>
    <row r="28" ht="26.4" customHeight="1">
      <c r="A28" s="7" t="inlineStr">
        <is>
          <t>B2</t>
        </is>
      </c>
      <c r="B28" s="7" t="inlineStr">
        <is>
          <t>Nested record input (concern 3)</t>
        </is>
      </c>
      <c r="C28" s="7" t="inlineStr">
        <is>
          <t>Running the nesting change in the same parse as the _SITES change makes the two effects impossible to separate.</t>
        </is>
      </c>
      <c r="D28" s="7" t="inlineStr">
        <is>
          <t>Same reason as every earlier one-change-per-run rule in the log.</t>
        </is>
      </c>
      <c r="E28" s="7" t="inlineStr">
        <is>
          <t>Reasoning</t>
        </is>
      </c>
      <c r="F28" s="7" t="inlineStr">
        <is>
          <t>High</t>
        </is>
      </c>
      <c r="G28" s="7" t="inlineStr">
        <is>
          <t>Medium</t>
        </is>
      </c>
      <c r="H28" s="7" t="inlineStr">
        <is>
          <t>Give nesting its own run.</t>
        </is>
      </c>
      <c r="I28" s="7" t="inlineStr">
        <is>
          <t>Two runs, one change each.</t>
        </is>
      </c>
      <c r="J28" s="8" t="inlineStr">
        <is>
          <t>Open</t>
        </is>
      </c>
      <c r="K28" s="8" t="inlineStr">
        <is>
          <t>You (run plan)</t>
        </is>
      </c>
      <c r="L28" s="7" t="inlineStr">
        <is>
          <t>2026-09-11</t>
        </is>
      </c>
      <c r="M28" s="8" t="inlineStr">
        <is>
          <t>2026-09-11</t>
        </is>
      </c>
      <c r="N28" s="8" t="n"/>
    </row>
    <row r="29" ht="39.6" customHeight="1">
      <c r="A29" s="7" t="inlineStr">
        <is>
          <t>C1</t>
        </is>
      </c>
      <c r="B29" s="7" t="inlineStr">
        <is>
          <t>Meaning from names (concern 2)</t>
        </is>
      </c>
      <c r="C29" s="7" t="inlineStr">
        <is>
          <t>Learning meaning from names ('stb' = strobe, 'rw' = read/write) reverses the decision in log 4.4 to treat identifiers as meaningless tokens, and lets names bias the asset stage.</t>
        </is>
      </c>
      <c r="D29" s="7" t="inlineStr">
        <is>
          <t>Log 4.4; prompt GUARDRAILS 'Do not infer from the name'.</t>
        </is>
      </c>
      <c r="E29" s="7" t="inlineStr">
        <is>
          <t>Reasoning (standing decision)</t>
        </is>
      </c>
      <c r="F29" s="7" t="inlineStr">
        <is>
          <t>n/a</t>
        </is>
      </c>
      <c r="G29" s="7" t="inlineStr">
        <is>
          <t>High</t>
        </is>
      </c>
      <c r="H29" s="7" t="inlineStr">
        <is>
          <t>DECIDED 2026-09-11: meaning comes from context, statements and counterparts only. Names are not used. Log 4.4 stands.</t>
        </is>
      </c>
      <c r="I29" s="7" t="inlineStr">
        <is>
          <t>functionality/role name a counterpart and a mechanism, never an expanded name.</t>
        </is>
      </c>
      <c r="J29" s="8" t="inlineStr">
        <is>
          <t>Closed</t>
        </is>
      </c>
      <c r="K29" s="8" t="inlineStr">
        <is>
          <t>You</t>
        </is>
      </c>
      <c r="L29" s="7" t="inlineStr">
        <is>
          <t>2026-09-11</t>
        </is>
      </c>
      <c r="M29" s="8" t="inlineStr">
        <is>
          <t>2026-09-11</t>
        </is>
      </c>
      <c r="N29" s="8" t="n"/>
    </row>
    <row r="30" ht="39.6" customHeight="1">
      <c r="A30" s="7" t="inlineStr">
        <is>
          <t>C2</t>
        </is>
      </c>
      <c r="B30" s="7" t="inlineStr">
        <is>
          <t>Meaning from names (concern 2)</t>
        </is>
      </c>
      <c r="C30" s="7" t="inlineStr">
        <is>
          <t>Name meaning is wrong on some designs because conventions differ. Here rw=1 is a write, so 'not rw' gives the read; other buses use a signal where 1 means READ.</t>
        </is>
      </c>
      <c r="D30" s="7" t="inlineStr">
        <is>
          <t>boot_rom line 60: rden &lt;= bus_req_i.stb and (not bus_req_i.rw).</t>
        </is>
      </c>
      <c r="E30" s="7" t="inlineStr">
        <is>
          <t>Reasoning (anchored)</t>
        </is>
      </c>
      <c r="F30" s="7" t="inlineStr">
        <is>
          <t>Medium</t>
        </is>
      </c>
      <c r="G30" s="7" t="inlineStr">
        <is>
          <t>High</t>
        </is>
      </c>
      <c r="H30" s="7" t="inlineStr">
        <is>
          <t>Closed with C1: no meaning is taken from names, so no polarity guess is made. The code settles polarity (line 60).</t>
        </is>
      </c>
      <c r="I30" s="7" t="inlineStr">
        <is>
          <t>Any annotation that states rw's meaning must cite line 60's logic.</t>
        </is>
      </c>
      <c r="J30" s="8" t="inlineStr">
        <is>
          <t>Closed</t>
        </is>
      </c>
      <c r="K30" s="8" t="inlineStr">
        <is>
          <t>You</t>
        </is>
      </c>
      <c r="L30" s="7" t="inlineStr">
        <is>
          <t>2026-09-11</t>
        </is>
      </c>
      <c r="M30" s="8" t="inlineStr">
        <is>
          <t>2026-09-11</t>
        </is>
      </c>
      <c r="N30" s="8" t="n"/>
    </row>
    <row r="31" ht="39.6" customHeight="1">
      <c r="A31" s="7" t="inlineStr">
        <is>
          <t>C3</t>
        </is>
      </c>
      <c r="B31" s="7" t="inlineStr">
        <is>
          <t>Meaning from names (concern 2)</t>
        </is>
      </c>
      <c r="C31" s="7" t="inlineStr">
        <is>
          <t>Getting meaning from counterparts (the route chosen in C1) could be prompted as a 'follow what an element drives' rule. That rule was tried in gen4 and reverted: the model treated it as a quota.</t>
        </is>
      </c>
      <c r="D31" s="7" t="inlineStr">
        <is>
          <t>prompts_parse_v3.py docstring 'REVERTED IN GEN4': governing prose 245 -&gt; 288 while governing edges 215 -&gt; 201.</t>
        </is>
      </c>
      <c r="E31" s="7" t="inlineStr">
        <is>
          <t>Measured (earlier generation)</t>
        </is>
      </c>
      <c r="F31" s="7" t="inlineStr">
        <is>
          <t>Medium</t>
        </is>
      </c>
      <c r="G31" s="7" t="inlineStr">
        <is>
          <t>Medium</t>
        </is>
      </c>
      <c r="H31" s="7" t="inlineStr">
        <is>
          <t>Describe the counterparts an element has; do not name a hop pattern or a target population in the prompt.</t>
        </is>
      </c>
      <c r="I31" s="7" t="inlineStr">
        <is>
          <t>Governing prose and governing edges should move together, not apart.</t>
        </is>
      </c>
      <c r="J31" s="8" t="inlineStr">
        <is>
          <t>Open</t>
        </is>
      </c>
      <c r="K31" s="8" t="inlineStr">
        <is>
          <t>You + me</t>
        </is>
      </c>
      <c r="L31" s="7" t="inlineStr">
        <is>
          <t>2026-09-11</t>
        </is>
      </c>
      <c r="M31" s="8" t="inlineStr">
        <is>
          <t>2026-09-11</t>
        </is>
      </c>
      <c r="N31" s="8" t="n"/>
    </row>
    <row r="32" ht="39.6" customHeight="1">
      <c r="A32" s="7" t="inlineStr">
        <is>
          <t>D1</t>
        </is>
      </c>
      <c r="B32" s="7" t="inlineStr">
        <is>
          <t>v7 run (ready, not yet run)</t>
        </is>
      </c>
      <c r="C32" s="7" t="inlineStr">
        <is>
          <t>Across a batch boundary, couplings get no mirror at all. Locality ordering halves the exposure but 102 of 205 pairs in neorv32_bus_io_switch are still split.</t>
        </is>
      </c>
      <c r="D32" s="7" t="inlineStr">
        <is>
          <t>v6: 0 of 141 cross-batch pairs mirrored; same-batch pairs 31% -&gt; 50% with the new ordering (log 4.25, measured 2026-09-05).</t>
        </is>
      </c>
      <c r="E32" s="7" t="inlineStr">
        <is>
          <t>Measured</t>
        </is>
      </c>
      <c r="F32" s="7" t="inlineStr">
        <is>
          <t>High</t>
        </is>
      </c>
      <c r="G32" s="7" t="inlineStr">
        <is>
          <t>High</t>
        </is>
      </c>
      <c r="H32" s="7" t="inlineStr">
        <is>
          <t>Done: _by_locality() ordering. Next if needed: batch 128 -&gt; 200 (3 calls), or a second pass that writes only mirrors.</t>
        </is>
      </c>
      <c r="I32" s="7" t="inlineStr">
        <is>
          <t>io_switch value reciprocity vs v6's 7%.</t>
        </is>
      </c>
      <c r="J32" s="8" t="inlineStr">
        <is>
          <t>Mitigated - verify after run</t>
        </is>
      </c>
      <c r="K32" s="8" t="inlineStr">
        <is>
          <t>Next run</t>
        </is>
      </c>
      <c r="L32" s="7" t="inlineStr">
        <is>
          <t>2026-09-05</t>
        </is>
      </c>
      <c r="M32" s="8" t="inlineStr">
        <is>
          <t>2026-09-11</t>
        </is>
      </c>
      <c r="N32" s="8" t="n"/>
    </row>
    <row r="33" ht="39.6" customHeight="1">
      <c r="A33" s="7" t="inlineStr">
        <is>
          <t>D2</t>
        </is>
      </c>
      <c r="B33" s="7" t="inlineStr">
        <is>
          <t>v7 run (ready, not yet run)</t>
        </is>
      </c>
      <c r="C33" s="7" t="inlineStr">
        <is>
          <t>Even inside one batch, io_switch keeps couplings consistent far less often than other entities: 128 elements plus a large source is too much for one answer.</t>
        </is>
      </c>
      <c r="D33" s="7" t="inlineStr">
        <is>
          <t>v6: 19% same-batch reciprocity in io_switch vs 71% in all other entities.</t>
        </is>
      </c>
      <c r="E33" s="7" t="inlineStr">
        <is>
          <t>Measured</t>
        </is>
      </c>
      <c r="F33" s="7" t="inlineStr">
        <is>
          <t>High</t>
        </is>
      </c>
      <c r="G33" s="7" t="inlineStr">
        <is>
          <t>Medium</t>
        </is>
      </c>
      <c r="H33" s="7" t="inlineStr">
        <is>
          <t>Not addressed yet. Candidate: smaller batches for very large entities.</t>
        </is>
      </c>
      <c r="I33" s="7" t="inlineStr">
        <is>
          <t>Same-batch reciprocity in io_switch.</t>
        </is>
      </c>
      <c r="J33" s="8" t="inlineStr">
        <is>
          <t>Open</t>
        </is>
      </c>
      <c r="K33" s="8" t="inlineStr">
        <is>
          <t>Me (after v7 result)</t>
        </is>
      </c>
      <c r="L33" s="7" t="inlineStr">
        <is>
          <t>2026-09-05</t>
        </is>
      </c>
      <c r="M33" s="8" t="inlineStr">
        <is>
          <t>2026-09-11</t>
        </is>
      </c>
      <c r="N33" s="8" t="n"/>
    </row>
    <row r="34" ht="52.8" customHeight="1">
      <c r="A34" s="7" t="inlineStr">
        <is>
          <t>D3</t>
        </is>
      </c>
      <c r="B34" s="7" t="inlineStr">
        <is>
          <t>v7 run (ready, not yet run)</t>
        </is>
      </c>
      <c r="C34" s="7" t="inlineStr">
        <is>
          <t>REFLECTS may still not move. The cause is that each end of a statement is classified separately, not the missing shape.</t>
        </is>
      </c>
      <c r="D34" s="7" t="inlineStr">
        <is>
          <t>v6: 4 of 44 REFLECTS sites. v5: 31 statements recorded as GATES from one end and DERIVES_FROM from the other (measured 2026-09-05).</t>
        </is>
      </c>
      <c r="E34" s="7" t="inlineStr">
        <is>
          <t>Measured</t>
        </is>
      </c>
      <c r="F34" s="7" t="inlineStr">
        <is>
          <t>High</t>
        </is>
      </c>
      <c r="G34" s="7" t="inlineStr">
        <is>
          <t>Medium</t>
        </is>
      </c>
      <c r="H34" s="7" t="inlineStr">
        <is>
          <t>Statement-first STEP 2b (area E).</t>
        </is>
      </c>
      <c r="I34" s="7" t="inlineStr">
        <is>
          <t>REFLECTS share of the 44 sites (diagnose_v5.py section 1).</t>
        </is>
      </c>
      <c r="J34" s="8" t="inlineStr">
        <is>
          <t>Open</t>
        </is>
      </c>
      <c r="K34" s="8" t="inlineStr">
        <is>
          <t>Next run</t>
        </is>
      </c>
      <c r="L34" s="7" t="inlineStr">
        <is>
          <t>2026-09-05</t>
        </is>
      </c>
      <c r="M34" s="8" t="inlineStr">
        <is>
          <t>2026-09-11</t>
        </is>
      </c>
      <c r="N34" s="8" t="n"/>
    </row>
    <row r="35" ht="39.6" customHeight="1">
      <c r="A35" s="7" t="inlineStr">
        <is>
          <t>D4</t>
        </is>
      </c>
      <c r="B35" s="7" t="inlineStr">
        <is>
          <t>v7 run (ready, not yet run)</t>
        </is>
      </c>
      <c r="C35" s="7" t="inlineStr">
        <is>
          <t>governing_coverage counts the driving end only, so a coupling moved to the receiving end reads as a loss. It overstates changes about twofold.</t>
        </is>
      </c>
      <c r="D35" s="7" t="inlineStr">
        <is>
          <t>v5 -&gt; v6: 62% -&gt; 54% driving end only, but 63% -&gt; 59% counting either end.</t>
        </is>
      </c>
      <c r="E35" s="7" t="inlineStr">
        <is>
          <t>Measured</t>
        </is>
      </c>
      <c r="F35" s="7" t="inlineStr">
        <is>
          <t>High</t>
        </is>
      </c>
      <c r="G35" s="7" t="inlineStr">
        <is>
          <t>Medium</t>
        </is>
      </c>
      <c r="H35" s="7" t="inlineStr">
        <is>
          <t>Read the both-ends figure alongside it.</t>
        </is>
      </c>
      <c r="I35" s="7" t="inlineStr">
        <is>
          <t>Compare against 63% (v5) and 59% (v6), both ends.</t>
        </is>
      </c>
      <c r="J35" s="8" t="inlineStr">
        <is>
          <t>Open</t>
        </is>
      </c>
      <c r="K35" s="8" t="inlineStr">
        <is>
          <t>You (reading results)</t>
        </is>
      </c>
      <c r="L35" s="7" t="inlineStr">
        <is>
          <t>2026-09-05</t>
        </is>
      </c>
      <c r="M35" s="8" t="inlineStr">
        <is>
          <t>2026-09-11</t>
        </is>
      </c>
      <c r="N35" s="8" t="n"/>
    </row>
    <row r="36" ht="52.8" customHeight="1">
      <c r="A36" s="7" t="inlineStr">
        <is>
          <t>D5</t>
        </is>
      </c>
      <c r="B36" s="7" t="inlineStr">
        <is>
          <t>v7 run (ready, not yet run)</t>
        </is>
      </c>
      <c r="C36" s="7" t="inlineStr">
        <is>
          <t>compare_parses warns 'DIFFERENT PARSE VERSIONS ... not comparable' whenever the prompt changed, even when the edge set is identical. You may skip numbers that are comparable.</t>
        </is>
      </c>
      <c r="D36" s="7" t="inlineStr">
        <is>
          <t>Warning is keyed on edge_set/prompt_sha/edge_types together (parse_v3.py).</t>
        </is>
      </c>
      <c r="E36" s="7" t="inlineStr">
        <is>
          <t>Reasoning (read from code)</t>
        </is>
      </c>
      <c r="F36" s="7" t="inlineStr">
        <is>
          <t>High</t>
        </is>
      </c>
      <c r="G36" s="7" t="inlineStr">
        <is>
          <t>Low</t>
        </is>
      </c>
      <c r="H36" s="7" t="inlineStr">
        <is>
          <t>Read past it when only the prompt changed, or key the warning on edge_set only.</t>
        </is>
      </c>
      <c r="I36" s="7" t="inlineStr">
        <is>
          <t>n/a</t>
        </is>
      </c>
      <c r="J36" s="8" t="inlineStr">
        <is>
          <t>Open</t>
        </is>
      </c>
      <c r="K36" s="8" t="inlineStr">
        <is>
          <t>Me (small fix, on request)</t>
        </is>
      </c>
      <c r="L36" s="7" t="inlineStr">
        <is>
          <t>2026-09-05</t>
        </is>
      </c>
      <c r="M36" s="8" t="inlineStr">
        <is>
          <t>2026-09-11</t>
        </is>
      </c>
      <c r="N36" s="8" t="n"/>
    </row>
    <row r="37" ht="39.6" customHeight="1">
      <c r="A37" s="7" t="inlineStr">
        <is>
          <t>D6</t>
        </is>
      </c>
      <c r="B37" s="7" t="inlineStr">
        <is>
          <t>v7 run (ready, not yet run)</t>
        </is>
      </c>
      <c r="C37" s="7" t="inlineStr">
        <is>
          <t>The v7 prompt is 10.5% longer than v5. A longer prompt may dilute attention on STEP 2b.</t>
        </is>
      </c>
      <c r="D37" s="7" t="inlineStr">
        <is>
          <t>23,841 vs 21,569 characters (measured 2026-09-05).</t>
        </is>
      </c>
      <c r="E37" s="7" t="inlineStr">
        <is>
          <t>Measured (length); reasoning (effect)</t>
        </is>
      </c>
      <c r="F37" s="7" t="inlineStr">
        <is>
          <t>Medium</t>
        </is>
      </c>
      <c r="G37" s="7" t="inlineStr">
        <is>
          <t>Medium</t>
        </is>
      </c>
      <c r="H37" s="7" t="inlineStr">
        <is>
          <t>Watch total edges.</t>
        </is>
      </c>
      <c r="I37" s="7" t="inlineStr">
        <is>
          <t>Total edges not below v5's 2,876.</t>
        </is>
      </c>
      <c r="J37" s="8" t="inlineStr">
        <is>
          <t>Open</t>
        </is>
      </c>
      <c r="K37" s="8" t="inlineStr">
        <is>
          <t>Next run</t>
        </is>
      </c>
      <c r="L37" s="7" t="inlineStr">
        <is>
          <t>2026-09-05</t>
        </is>
      </c>
      <c r="M37" s="8" t="inlineStr">
        <is>
          <t>2026-09-11</t>
        </is>
      </c>
      <c r="N37" s="8" t="n"/>
    </row>
    <row r="38" ht="39.6" customHeight="1">
      <c r="A38" s="7" t="inlineStr">
        <is>
          <t>E1</t>
        </is>
      </c>
      <c r="B38" s="7" t="inlineStr">
        <is>
          <t>Statement-first STEP 2b (proposed)</t>
        </is>
      </c>
      <c r="C38" s="7" t="inlineStr">
        <is>
          <t>Statement-first reasoning across a batch split: the two ends of a statement may be annotated in different calls.</t>
        </is>
      </c>
      <c r="D38" s="7" t="inlineStr">
        <is>
          <t>Only io_switch splits (582 elements, 5 calls); every call receives the full entity source.</t>
        </is>
      </c>
      <c r="E38" s="7" t="inlineStr">
        <is>
          <t>Measured (split); reasoning (effect)</t>
        </is>
      </c>
      <c r="F38" s="7" t="inlineStr">
        <is>
          <t>Medium</t>
        </is>
      </c>
      <c r="G38" s="7" t="inlineStr">
        <is>
          <t>Medium</t>
        </is>
      </c>
      <c r="H38" s="7" t="inlineStr">
        <is>
          <t>Prompt says: classify the statement from the source you have in full; write edges only for elements in your list. Keep locality ordering.</t>
        </is>
      </c>
      <c r="I38" s="7" t="inlineStr">
        <is>
          <t>io_switch reciprocity after the change.</t>
        </is>
      </c>
      <c r="J38" s="8" t="inlineStr">
        <is>
          <t>Open</t>
        </is>
      </c>
      <c r="K38" s="8" t="inlineStr">
        <is>
          <t>Me (prompt draft)</t>
        </is>
      </c>
      <c r="L38" s="7" t="inlineStr">
        <is>
          <t>2026-09-05</t>
        </is>
      </c>
      <c r="M38" s="8" t="inlineStr">
        <is>
          <t>2026-09-11</t>
        </is>
      </c>
      <c r="N38" s="8" t="n"/>
    </row>
    <row r="39" ht="26.4" customHeight="1">
      <c r="A39" s="7" t="inlineStr">
        <is>
          <t>E2</t>
        </is>
      </c>
      <c r="B39" s="7" t="inlineStr">
        <is>
          <t>Statement-first STEP 2b (proposed)</t>
        </is>
      </c>
      <c r="C39" s="7" t="inlineStr">
        <is>
          <t>If STEP 2b loops over statements instead of elements, missed statements silently cost elements their edges.</t>
        </is>
      </c>
      <c r="D39" s="7" t="inlineStr">
        <is>
          <t>1,091 assignment operators vs 1,689 elements (measured 2026-09-05).</t>
        </is>
      </c>
      <c r="E39" s="7" t="inlineStr">
        <is>
          <t>Measured</t>
        </is>
      </c>
      <c r="F39" s="7" t="inlineStr">
        <is>
          <t>Medium</t>
        </is>
      </c>
      <c r="G39" s="7" t="inlineStr">
        <is>
          <t>High</t>
        </is>
      </c>
      <c r="H39" s="7" t="inlineStr">
        <is>
          <t>Keep the element sweep; change only what each decision is based on (the statement).</t>
        </is>
      </c>
      <c r="I39" s="7" t="inlineStr">
        <is>
          <t>Total edges &gt;= 2,876 and no_relationship &lt;= 43 (v5).</t>
        </is>
      </c>
      <c r="J39" s="8" t="inlineStr">
        <is>
          <t>Open</t>
        </is>
      </c>
      <c r="K39" s="8" t="inlineStr">
        <is>
          <t>Me (prompt draft)</t>
        </is>
      </c>
      <c r="L39" s="7" t="inlineStr">
        <is>
          <t>2026-09-05</t>
        </is>
      </c>
      <c r="M39" s="8" t="inlineStr">
        <is>
          <t>2026-09-11</t>
        </is>
      </c>
      <c r="N39" s="8" t="n"/>
    </row>
    <row r="40" ht="39.6" customHeight="1">
      <c r="A40" s="7" t="inlineStr">
        <is>
          <t>F1</t>
        </is>
      </c>
      <c r="B40" s="7" t="inlineStr">
        <is>
          <t>Driver / prompt code</t>
        </is>
      </c>
      <c r="C40" s="7" t="inlineStr">
        <is>
          <t>The single-file path (annotate_module) writes no _version stamp, so parse_version_of and assert_one_version fail on its files.</t>
        </is>
      </c>
      <c r="D40" s="7" t="inlineStr">
        <is>
          <t>Found while wiring isolated_but_used (log 4.22).</t>
        </is>
      </c>
      <c r="E40" s="7" t="inlineStr">
        <is>
          <t>Read from code</t>
        </is>
      </c>
      <c r="F40" s="7" t="inlineStr">
        <is>
          <t>Low</t>
        </is>
      </c>
      <c r="G40" s="7" t="inlineStr">
        <is>
          <t>Medium</t>
        </is>
      </c>
      <c r="H40" s="7" t="inlineStr">
        <is>
          <t>Add _version to that path. The notebook uses the batched path, so the current runs are not affected.</t>
        </is>
      </c>
      <c r="I40" s="7" t="inlineStr">
        <is>
          <t>Stamp present on a file written by annotate_module.</t>
        </is>
      </c>
      <c r="J40" s="8" t="inlineStr">
        <is>
          <t>Open</t>
        </is>
      </c>
      <c r="K40" s="8" t="inlineStr">
        <is>
          <t>Me (on request)</t>
        </is>
      </c>
      <c r="L40" s="7" t="inlineStr">
        <is>
          <t>2026-09-05</t>
        </is>
      </c>
      <c r="M40" s="8" t="inlineStr">
        <is>
          <t>2026-09-11</t>
        </is>
      </c>
      <c r="N40" s="8" t="n"/>
    </row>
    <row r="41" ht="26.4" customHeight="1">
      <c r="A41" s="7" t="inlineStr">
        <is>
          <t>F2</t>
        </is>
      </c>
      <c r="B41" s="7" t="inlineStr">
        <is>
          <t>Driver / prompt code</t>
        </is>
      </c>
      <c r="C41" s="7" t="inlineStr">
        <is>
          <t>audit_dead_ends splits statements at '&lt;=', so a comparison would be misread as an assignment.</t>
        </is>
      </c>
      <c r="D41" s="7" t="inlineStr">
        <is>
          <t>0 such comparisons in these 18 files (see A12).</t>
        </is>
      </c>
      <c r="E41" s="7" t="inlineStr">
        <is>
          <t>Measured (0 here)</t>
        </is>
      </c>
      <c r="F41" s="7" t="inlineStr">
        <is>
          <t>Low</t>
        </is>
      </c>
      <c r="G41" s="7" t="inlineStr">
        <is>
          <t>Low</t>
        </is>
      </c>
      <c r="H41" s="7" t="inlineStr">
        <is>
          <t>Only matters for other designs.</t>
        </is>
      </c>
      <c r="I41" s="7" t="inlineStr">
        <is>
          <t>n/a</t>
        </is>
      </c>
      <c r="J41" s="8" t="inlineStr">
        <is>
          <t>Open</t>
        </is>
      </c>
      <c r="K41" s="8" t="inlineStr">
        <is>
          <t>Me</t>
        </is>
      </c>
      <c r="L41" s="7" t="inlineStr">
        <is>
          <t>2026-09-11</t>
        </is>
      </c>
      <c r="M41" s="8" t="inlineStr">
        <is>
          <t>2026-09-11</t>
        </is>
      </c>
      <c r="N41" s="8" t="n"/>
    </row>
    <row r="42" ht="39.6" customHeight="1">
      <c r="A42" s="7" t="inlineStr">
        <is>
          <t>F3</t>
        </is>
      </c>
      <c r="B42" s="7" t="inlineStr">
        <is>
          <t>Driver / prompt code</t>
        </is>
      </c>
      <c r="C42" s="7" t="inlineStr">
        <is>
          <t>'handling' is weaker on internal-signal record fields than on port fields.</t>
        </is>
      </c>
      <c r="D42" s="7" t="inlineStr">
        <is>
          <t>v6: port fields 912/974 = 94%; signal fields 174/271 = 64% (measured 2026-09-11).</t>
        </is>
      </c>
      <c r="E42" s="7" t="inlineStr">
        <is>
          <t>Measured</t>
        </is>
      </c>
      <c r="F42" s="7" t="inlineStr">
        <is>
          <t>High</t>
        </is>
      </c>
      <c r="G42" s="7" t="inlineStr">
        <is>
          <t>Medium</t>
        </is>
      </c>
      <c r="H42" s="7" t="inlineStr">
        <is>
          <t>Clarify in the prompt that internal record signals need 'handling' per field too; nesting (B1) may also help.</t>
        </is>
      </c>
      <c r="I42" s="7" t="inlineStr">
        <is>
          <t>Signal-field handling rate after the next parse.</t>
        </is>
      </c>
      <c r="J42" s="8" t="inlineStr">
        <is>
          <t>Open</t>
        </is>
      </c>
      <c r="K42" s="8" t="inlineStr">
        <is>
          <t>You + me</t>
        </is>
      </c>
      <c r="L42" s="7" t="inlineStr">
        <is>
          <t>2026-09-11</t>
        </is>
      </c>
      <c r="M42" s="8" t="inlineStr">
        <is>
          <t>2026-09-11</t>
        </is>
      </c>
      <c r="N42" s="8" t="n"/>
    </row>
    <row r="43" ht="26.4" customHeight="1">
      <c r="A43" s="7" t="inlineStr">
        <is>
          <t>F4</t>
        </is>
      </c>
      <c r="B43" s="7" t="inlineStr">
        <is>
          <t>Driver / prompt code</t>
        </is>
      </c>
      <c r="C43" s="7" t="inlineStr">
        <is>
          <t>STEP 2b's ISOLATED line hands over a conclusion ('DECL and nothing else -&gt; ISOLATED') instead of a procedure.</t>
        </is>
      </c>
      <c r="D43" s="7" t="inlineStr">
        <is>
          <t>Log 4.19-I.</t>
        </is>
      </c>
      <c r="E43" s="7" t="inlineStr">
        <is>
          <t>Measured (in log)</t>
        </is>
      </c>
      <c r="F43" s="7" t="inlineStr">
        <is>
          <t>Medium</t>
        </is>
      </c>
      <c r="G43" s="7" t="inlineStr">
        <is>
          <t>Medium</t>
        </is>
      </c>
      <c r="H43" s="7" t="inlineStr">
        <is>
          <t>Rewrite as a check: before concluding it is uncoupled, look for a site on any field.</t>
        </is>
      </c>
      <c r="I43" s="7" t="inlineStr">
        <is>
          <t>ISOLATED contradicted count (v6: 18 of 139).</t>
        </is>
      </c>
      <c r="J43" s="8" t="inlineStr">
        <is>
          <t>Open</t>
        </is>
      </c>
      <c r="K43" s="8" t="inlineStr">
        <is>
          <t>Me (prompt edit)</t>
        </is>
      </c>
      <c r="L43" s="7" t="inlineStr">
        <is>
          <t>2026-09-05</t>
        </is>
      </c>
      <c r="M43" s="8" t="inlineStr">
        <is>
          <t>2026-09-11</t>
        </is>
      </c>
      <c r="N43" s="8" t="n"/>
    </row>
    <row r="44" ht="26.4" customHeight="1">
      <c r="A44" s="7" t="inlineStr">
        <is>
          <t>F5</t>
        </is>
      </c>
      <c r="B44" s="7" t="inlineStr">
        <is>
          <t>Driver / prompt code</t>
        </is>
      </c>
      <c r="C44" s="7" t="inlineStr">
        <is>
          <t>The parser never emits its occurrence profile, so a missed site and a mislabelled site look the same in the output.</t>
        </is>
      </c>
      <c r="D44" s="7" t="inlineStr">
        <is>
          <t>Log 4.19-E. Your manual profiles are the design for fixing this.</t>
        </is>
      </c>
      <c r="E44" s="7" t="inlineStr">
        <is>
          <t>Reasoning (in log)</t>
        </is>
      </c>
      <c r="F44" s="7" t="inlineStr">
        <is>
          <t>High</t>
        </is>
      </c>
      <c r="G44" s="7" t="inlineStr">
        <is>
          <t>High</t>
        </is>
      </c>
      <c r="H44" s="7" t="inlineStr">
        <is>
          <t>Emit the profile (or its site tags) as a field once your site set is settled.</t>
        </is>
      </c>
      <c r="I44" s="7" t="inlineStr">
        <is>
          <t>A missing edge can be traced to either stage.</t>
        </is>
      </c>
      <c r="J44" s="8" t="inlineStr">
        <is>
          <t>Open</t>
        </is>
      </c>
      <c r="K44" s="8" t="inlineStr">
        <is>
          <t>You + me</t>
        </is>
      </c>
      <c r="L44" s="7" t="inlineStr">
        <is>
          <t>2026-09-05</t>
        </is>
      </c>
      <c r="M44" s="8" t="inlineStr">
        <is>
          <t>2026-09-11</t>
        </is>
      </c>
      <c r="N44" s="8" t="n"/>
    </row>
    <row r="45" ht="26.4" customHeight="1">
      <c r="A45" s="7" t="inlineStr">
        <is>
          <t>F6</t>
        </is>
      </c>
      <c r="B45" s="7" t="inlineStr">
        <is>
          <t>Driver / prompt code</t>
        </is>
      </c>
      <c r="C45" s="7" t="inlineStr">
        <is>
          <t>STEP 3 says 'the four fields' but five are emitted.</t>
        </is>
      </c>
      <c r="D45" s="7" t="inlineStr">
        <is>
          <t>Log 4.19-J.</t>
        </is>
      </c>
      <c r="E45" s="7" t="inlineStr">
        <is>
          <t>Read from prompt</t>
        </is>
      </c>
      <c r="F45" s="7" t="inlineStr">
        <is>
          <t>Low</t>
        </is>
      </c>
      <c r="G45" s="7" t="inlineStr">
        <is>
          <t>Low</t>
        </is>
      </c>
      <c r="H45" s="7" t="inlineStr">
        <is>
          <t>Change the word when the prompt is next edited.</t>
        </is>
      </c>
      <c r="I45" s="7" t="inlineStr">
        <is>
          <t>n/a</t>
        </is>
      </c>
      <c r="J45" s="8" t="inlineStr">
        <is>
          <t>Open</t>
        </is>
      </c>
      <c r="K45" s="8" t="inlineStr">
        <is>
          <t>Me (next prompt edit)</t>
        </is>
      </c>
      <c r="L45" s="7" t="inlineStr">
        <is>
          <t>2026-09-05</t>
        </is>
      </c>
      <c r="M45" s="8" t="inlineStr">
        <is>
          <t>2026-09-11</t>
        </is>
      </c>
      <c r="N45" s="8" t="n"/>
    </row>
    <row r="46" ht="26.4" customHeight="1">
      <c r="A46" s="7" t="inlineStr">
        <is>
          <t>F7</t>
        </is>
      </c>
      <c r="B46" s="7" t="inlineStr">
        <is>
          <t>Driver / prompt code</t>
        </is>
      </c>
      <c r="C46" s="7" t="inlineStr">
        <is>
          <t>No check yet that FORWARDS is true: a field used anywhere other than a whole-record copy is not forwarded.</t>
        </is>
      </c>
      <c r="D46" s="7" t="inlineStr">
        <is>
          <t>Log section 6.</t>
        </is>
      </c>
      <c r="E46" s="7" t="inlineStr">
        <is>
          <t>Reasoning (in log)</t>
        </is>
      </c>
      <c r="F46" s="7" t="inlineStr">
        <is>
          <t>Medium</t>
        </is>
      </c>
      <c r="G46" s="7" t="inlineStr">
        <is>
          <t>Medium</t>
        </is>
      </c>
      <c r="H46" s="7" t="inlineStr">
        <is>
          <t>Write it as an audit (it needs the RTL).</t>
        </is>
      </c>
      <c r="I46" s="7" t="inlineStr">
        <is>
          <t>Share of FORWARDS claims contradicted by the source.</t>
        </is>
      </c>
      <c r="J46" s="8" t="inlineStr">
        <is>
          <t>Open</t>
        </is>
      </c>
      <c r="K46" s="8" t="inlineStr">
        <is>
          <t>Me (on request)</t>
        </is>
      </c>
      <c r="L46" s="7" t="inlineStr">
        <is>
          <t>2026-09-05</t>
        </is>
      </c>
      <c r="M46" s="8" t="inlineStr">
        <is>
          <t>2026-09-11</t>
        </is>
      </c>
      <c r="N46" s="8" t="n"/>
    </row>
    <row r="47" ht="26.4" customHeight="1">
      <c r="A47" s="7" t="inlineStr">
        <is>
          <t>G1</t>
        </is>
      </c>
      <c r="B47" s="7" t="inlineStr">
        <is>
          <t>Process</t>
        </is>
      </c>
      <c r="C47" s="7" t="inlineStr">
        <is>
          <t>Writing the notebook file while its kernel is running reloads the editor and kills the kernel.</t>
        </is>
      </c>
      <c r="D47" s="7" t="inlineStr">
        <is>
          <t>Killed a paid run once (memory: never-edit-notebook-during-run).</t>
        </is>
      </c>
      <c r="E47" s="7" t="inlineStr">
        <is>
          <t>Measured (incident)</t>
        </is>
      </c>
      <c r="F47" s="7" t="inlineStr">
        <is>
          <t>Medium</t>
        </is>
      </c>
      <c r="G47" s="7" t="inlineStr">
        <is>
          <t>High</t>
        </is>
      </c>
      <c r="H47" s="7" t="inlineStr">
        <is>
          <t>Never write the .ipynb during a run. Ask before any notebook edit if a run may be active.</t>
        </is>
      </c>
      <c r="I47" s="7" t="inlineStr">
        <is>
          <t>n/a</t>
        </is>
      </c>
      <c r="J47" s="8" t="inlineStr">
        <is>
          <t>Standing rule</t>
        </is>
      </c>
      <c r="K47" s="8" t="inlineStr">
        <is>
          <t>Me</t>
        </is>
      </c>
      <c r="L47" s="7" t="inlineStr">
        <is>
          <t>earlier</t>
        </is>
      </c>
      <c r="M47" s="8" t="inlineStr">
        <is>
          <t>2026-09-11</t>
        </is>
      </c>
      <c r="N47" s="8" t="n"/>
    </row>
    <row r="48" ht="39.6" customHeight="1">
      <c r="A48" s="7" t="inlineStr">
        <is>
          <t>G2</t>
        </is>
      </c>
      <c r="B48" s="7" t="inlineStr">
        <is>
          <t>Process</t>
        </is>
      </c>
      <c r="C48" s="7" t="inlineStr">
        <is>
          <t>A blanket text substitution during a version rename corrupted a hex sha in the notebook ('e5' inside the sha became 'e6').</t>
        </is>
      </c>
      <c r="D48" s="7" t="inlineStr">
        <is>
          <t>Log 4.23.</t>
        </is>
      </c>
      <c r="E48" s="7" t="inlineStr">
        <is>
          <t>Measured (incident)</t>
        </is>
      </c>
      <c r="F48" s="7" t="inlineStr">
        <is>
          <t>Medium</t>
        </is>
      </c>
      <c r="G48" s="7" t="inlineStr">
        <is>
          <t>Medium</t>
        </is>
      </c>
      <c r="H48" s="7" t="inlineStr">
        <is>
          <t>Word-boundary renames only, plus check_notebook.py, which prints every changed line against the backup.</t>
        </is>
      </c>
      <c r="I48" s="7" t="inlineStr">
        <is>
          <t>check_notebook.py at every version cutover.</t>
        </is>
      </c>
      <c r="J48" s="8" t="inlineStr">
        <is>
          <t>Mitigated - reuse at each cutover</t>
        </is>
      </c>
      <c r="K48" s="8" t="inlineStr">
        <is>
          <t>Me</t>
        </is>
      </c>
      <c r="L48" s="7" t="inlineStr">
        <is>
          <t>2026-09-05</t>
        </is>
      </c>
      <c r="M48" s="8" t="inlineStr">
        <is>
          <t>2026-09-11</t>
        </is>
      </c>
      <c r="N48" s="8" t="n"/>
    </row>
    <row r="49">
      <c r="A49" s="7" t="inlineStr">
        <is>
          <t>A15</t>
        </is>
      </c>
      <c r="B49" s="7" t="inlineStr">
        <is>
          <t>Manual annotation -&gt; new _SITES</t>
        </is>
      </c>
      <c r="C49" s="7" t="inlineStr">
        <is>
          <t>A function call and an array index have the same shape, &lt;name&gt;(&lt;element&gt;), and no value site fits an element passed into a function. For x &lt;= and_reduce_f(y); y is not DIRR_ASS (another name appears), not RHS_OPERAND (no operator), not INDEX (not an array). Separately, only INDEX says conversions are read through, so x &lt;= unsigned(y); fails DIRR_ASS.</t>
        </is>
      </c>
      <c r="D49" s="7" t="inlineStr">
        <is>
          <t>52 conversions wrap an element on the right of &lt;= in the 18 files. Test from the model's own file: a name that is not an element, not a constant declared in the file, and not a conversion was a function 7 of 7 times (5 declared in the package, 2 to_bit from the IEEE library); 0 constant arrays misread. Counts cover calls whose argument is a bare element name (measured 2026-09-14).</t>
        </is>
      </c>
      <c r="E49" s="7" t="inlineStr">
        <is>
          <t>Measured</t>
        </is>
      </c>
      <c r="F49" s="7" t="inlineStr">
        <is>
          <t>High</t>
        </is>
      </c>
      <c r="G49" s="7" t="inlineStr">
        <is>
          <t>Medium</t>
        </is>
      </c>
      <c r="H49" s="7" t="inlineStr">
        <is>
          <t>PAUSED by the user 2026-09-14. When resumed: (a) make 'read through conversions' a general rule, adding to_bit; (b) add a site for an element passed into a function, e.g. FUNC_ARG, which also gives the REFLECTS reduction shape a site; (c) tell a function from an array by declaration, with 'otherwise a function' as the fallback.</t>
        </is>
      </c>
      <c r="I49" s="7" t="inlineStr">
        <is>
          <t>Every and_reduce_f(...) / or_reduce_f(...) argument gets the new site; no element to the right of &lt;= has zero or two value sites.</t>
        </is>
      </c>
      <c r="J49" s="8" t="inlineStr">
        <is>
          <t>Open</t>
        </is>
      </c>
      <c r="K49" s="8" t="inlineStr">
        <is>
          <t>You - paused</t>
        </is>
      </c>
      <c r="L49" s="7" t="inlineStr">
        <is>
          <t>2026-09-14</t>
        </is>
      </c>
      <c r="M49" s="8" t="inlineStr">
        <is>
          <t>2026-09-14</t>
        </is>
      </c>
      <c r="N49" s="8" t="inlineStr"/>
    </row>
    <row r="50">
      <c r="A50" s="7" t="inlineStr">
        <is>
          <t>A16</t>
        </is>
      </c>
      <c r="B50" s="7" t="inlineStr">
        <is>
          <t>Manual annotation -&gt; new _SITES</t>
        </is>
      </c>
      <c r="C50" s="7" t="inlineStr">
        <is>
          <t>SITES_draft_v2.md has no rules section. Nothing says that only names in the given element list get a site, and nothing says site names never go into an output field.</t>
        </is>
      </c>
      <c r="D50" s="7" t="inlineStr">
        <is>
          <t>v2 mentions the element list once, inside FIELD_USE. boot_rom_size_index_c, 1 and 2 in a range bound get no site only because they are not in the list. v6: 7 site names leaked into relationship types (measured 2026-09-05). 2026-09-14: the element-list rule is now in the extract, classify and validate prompts (occurrence_prompts_v2), and the notebook asserts it is there. The site-name guard is still missing from the parser prompt.</t>
        </is>
      </c>
      <c r="E50" s="7" t="inlineStr">
        <is>
          <t>Reasoning (element rule); measured (the leak)</t>
        </is>
      </c>
      <c r="F50" s="7" t="inlineStr">
        <is>
          <t>High</t>
        </is>
      </c>
      <c r="G50" s="7" t="inlineStr">
        <is>
          <t>Medium</t>
        </is>
      </c>
      <c r="H50" s="7" t="inlineStr">
        <is>
          <t>The element-list rule is saved to memory (sites-element-list-rule) with a reminder for when the prompt is written. Put it, and the site-name guard, in a rules section above the site definitions, not inside one site.</t>
        </is>
      </c>
      <c r="I50" s="7" t="inlineStr">
        <is>
          <t>The written prompt contains both sentences; unknown_edge after the next parse.</t>
        </is>
      </c>
      <c r="J50" s="8" t="inlineStr">
        <is>
          <t>Open</t>
        </is>
      </c>
      <c r="K50" s="8" t="inlineStr">
        <is>
          <t>You - when writing the prompt</t>
        </is>
      </c>
      <c r="L50" s="7" t="inlineStr">
        <is>
          <t>2026-09-14</t>
        </is>
      </c>
      <c r="M50" s="8" t="inlineStr">
        <is>
          <t>2026-09-14</t>
        </is>
      </c>
      <c r="N50" s="8" t="inlineStr"/>
    </row>
    <row r="51">
      <c r="A51" s="7" t="inlineStr">
        <is>
          <t>H1</t>
        </is>
      </c>
      <c r="B51" s="7" t="inlineStr">
        <is>
          <t>Occurrence profiles (LLM)</t>
        </is>
      </c>
      <c r="C51" s="7" t="inlineStr">
        <is>
          <t>The rulebook from step 1 is written by the model. A wrong or invented rule reaches every classify and validate call.</t>
        </is>
      </c>
      <c r="D51" s="7" t="inlineStr">
        <is>
          <t>Generated knowledge becomes part of later prompts. A code check cannot tell a correct restatement from a subtle change. Pre-flight (stub model): a missing SITE, an invented SITE name and a corpus identifier each block the rulebook; a basis quote not in v2 is listed. 2026-09-14, first real rulebook 8b93c318bab8: blocked by the notebook for banned words (may, possibly). Read by hand: the DECL_FIELD rule and its conflict rule put DECL_FIELD on every &lt;base&gt;.&lt;field&gt; use, against annotate_rules E.13; a conflict rule says one occurrence can be both PROCESS_TRIG and EDGE_CHECK; PROCESS_TRIG lists process (all) as a structure and also excludes it. 160 of 161 basis quotes were found in v2, including fragments such as ... and or, so the check shows a quote exists, not that it supports its rule. Hand-edited to bc7dd72f4a4a on the user's instruction: all 108 basis quotes found in v2, no problem. v2's DECL_FIELD and PROCESS_TRIG sentences that caused the errors are unchanged and still win over the rulebook in the classify prompt. Edited again to b189af961721: port clause and declarative part spans, case alternatives as branches, CASE_EXPR and CASE_COND added (see H6). Then 1cac97a068da: classify and validate now follow the rulebook alone (v2 removed from those prompts), after 24 necessary v2 sentences were carried in; so the ambiguous v2 sentences no longer reach the model.</t>
        </is>
      </c>
      <c r="E51" s="7" t="inlineStr">
        <is>
          <t>Measured (rulebook check + reading the rulebook)</t>
        </is>
      </c>
      <c r="F51" s="7" t="inlineStr">
        <is>
          <t>Medium</t>
        </is>
      </c>
      <c r="G51" s="7" t="inlineStr">
        <is>
          <t>High</t>
        </is>
      </c>
      <c r="H51" s="7" t="inlineStr">
        <is>
          <t>Nothing after step 1 runs until APPROVED_RULEBOOK holds the rulebook's sha, so any edit needs approving again. Every rule carries basis quotes, checked word for word against v2. Do not delete rulebook.json: step 1 would rebuild it with the unfixed knowledge prompt. Edit v2's DECL_FIELD and PROCESS_TRIG sentences to remove the source of the errors.</t>
        </is>
      </c>
      <c r="I51" s="7" t="inlineStr">
        <is>
          <t>Rulebook cell: PROBLEM and review lines. After the boot_rom run: classify (line, SITE) recall and precision on hand elements.</t>
        </is>
      </c>
      <c r="J51" s="8" t="inlineStr">
        <is>
          <t>Open</t>
        </is>
      </c>
      <c r="K51" s="8" t="inlineStr">
        <is>
          <t>You - approve cab0c37b2720</t>
        </is>
      </c>
      <c r="L51" s="7" t="inlineStr">
        <is>
          <t>2026-09-14</t>
        </is>
      </c>
      <c r="M51" s="8" t="inlineStr">
        <is>
          <t>2026-09-14</t>
        </is>
      </c>
      <c r="N51" s="8" t="n"/>
    </row>
    <row r="52">
      <c r="A52" s="7" t="inlineStr">
        <is>
          <t>H2</t>
        </is>
      </c>
      <c r="B52" s="7" t="inlineStr">
        <is>
          <t>Occurrence profiles (LLM)</t>
        </is>
      </c>
      <c r="C52" s="7" t="inlineStr">
        <is>
          <t>Step 4 (validate) is the same model checking the same kind of output, so it is not independent. It can remove correct entries as easily as fix wrong ones.</t>
        </is>
      </c>
      <c r="D52" s="7" t="inlineStr">
        <is>
          <t>The pasted design calls it independent validation. The only independent checks are the code checks in the parse cell. boot_rom run 2026-09-14: validate changed 0 of 21 profiles and kept the one Context rule break (H7), so it neither helped nor hurt there. trng+cache run 2026-09-15: validate changed 5 of 142 profiles: 3 fixes (INDEX wrongly on bus_req_i.addr(2) at trng 108 and 171 removed; RHS_OPERAND added for debias_state at 336), 3 new errors (PART_SELECT put on the base bus_rsp_o at 110, 115, 117; the base gets FIELD_USE only), 3 undecided (INDEX for an attribute prefix such as sreg'left). It restored none of the 39 missed lines. 2026-09-15 run: validate changed 16 of 142 profiles, closing all 26 classify misses and 18 design words using the CODE CHECK list; step 4 is now needed.</t>
        </is>
      </c>
      <c r="E52" s="7" t="inlineStr">
        <is>
          <t>Reasoning</t>
        </is>
      </c>
      <c r="F52" s="7" t="inlineStr">
        <is>
          <t>Medium</t>
        </is>
      </c>
      <c r="G52" s="7" t="inlineStr">
        <is>
          <t>Medium</t>
        </is>
      </c>
      <c r="H52" s="7" t="inlineStr">
        <is>
          <t>Classify and validate are scored separately on boot_rom, and the diff cell lists every (line, SITE) pair validate removed or added. Drop the step if it raises neither recall nor precision on hand elements.</t>
        </is>
      </c>
      <c r="I52" s="7" t="inlineStr">
        <is>
          <t>Compare cell: classify vs validate figures. Diff cell.</t>
        </is>
      </c>
      <c r="J52" s="8" t="inlineStr">
        <is>
          <t>Open</t>
        </is>
      </c>
      <c r="K52" s="8" t="inlineStr">
        <is>
          <t>Me - after the boot_rom run</t>
        </is>
      </c>
      <c r="L52" s="7" t="inlineStr">
        <is>
          <t>2026-09-14</t>
        </is>
      </c>
      <c r="M52" s="8" t="inlineStr">
        <is>
          <t>2026-09-15</t>
        </is>
      </c>
      <c r="N52" s="8" t="n"/>
    </row>
    <row r="53">
      <c r="A53" s="7" t="inlineStr">
        <is>
          <t>H3</t>
        </is>
      </c>
      <c r="B53" s="7" t="inlineStr">
        <is>
          <t>Occurrence profiles (LLM)</t>
        </is>
      </c>
      <c r="C53" s="7" t="inlineStr">
        <is>
          <t>An occurrence no v2 SITE covers now gets an empty SITE Tagged list. The model can also use an empty list to skip a hard case.</t>
        </is>
      </c>
      <c r="D53" s="7" t="inlineStr">
        <is>
          <t>trng and cache hold statements v2 has no site for: port maps (trng lines 134, 153, 301; cache 278) and component declarations (trng 55, 246; cache 56). boot_rom's expected profile has no empty list, so an empty list there is a recall miss. An element in an if ... generate condition also gets an empty list: ModelSim only warns that the condition must be static, and elaborates. trng+cache validate: 55 empty lists = 30 port-map actuals, 11 bit ranges on a plain right-hand side (rulebook conflict: DIRR_ASS exclusion says add PART_SELECT, PART_SELECT context says 'together with the site'), 7 single bits or attribute positions, 6 arrays read by position, 1 variable assignment. 2026-09-15 audit proposes ASSOC_ACTUAL, INDEXED_NAME, ATTR_PREFIX, VAR_RHS_OPERAND. Of the 55 empty lists they would cover 30 port-map actuals, 13 indexed-name prefixes, 1 variable-assignment operand; the 11 plain-RHS slices stay the PART_SELECT decision. BNF (vhdl-online 93): slice_name is separate from indexed_name; a function call argument is also an association actual. 2026-09-15: rulebook cab0c37b2720 adds ASSOC_ACTUAL (port/generic maps only), INDEXED_NAME (indexed names, not slices), ATTR_PREFIX, VAR_RHS_OPERAND; a whole-RHS slice is now PART_SELECT alone. Not yet run. 2026-09-15 run: 1 empty list left (ctrl.ofs in unsigned(ctrl.ofs) + 1 at cache 244: conversion argument, A15). Add-ons still missed on 8 lines (6 bus_rsp_o.data targets at trng 109-117, sreg and latch at 435); no extra add-on anywhere. 2026-09-15: index/slice count added to the parse cell and to the CODE CHECK list (self-tested); 3 stale validate batches to re-run; previous validate answers archived in occurrence_profiles_v2/_archive/.</t>
        </is>
      </c>
      <c r="E53" s="7" t="inlineStr">
        <is>
          <t>Measured (grep of the three files) + reasoning</t>
        </is>
      </c>
      <c r="F53" s="7" t="inlineStr">
        <is>
          <t>High</t>
        </is>
      </c>
      <c r="G53" s="7" t="inlineStr">
        <is>
          <t>Medium</t>
        </is>
      </c>
      <c r="H53" s="7" t="inlineStr">
        <is>
          <t>Empty list chosen over forcing the nearest SITE, so gaps in v2 show instead of hiding in wrong tags. The statements that get empty lists are candidates for the excluded sites.</t>
        </is>
      </c>
      <c r="I53" s="7" t="inlineStr">
        <is>
          <t>Parse cell: 'entry with no SITE, empty list (review)' per step; read those rows in the tables.</t>
        </is>
      </c>
      <c r="J53" s="8" t="inlineStr">
        <is>
          <t>Open</t>
        </is>
      </c>
      <c r="K53" s="8" t="inlineStr">
        <is>
          <t>You - when rebuilding the site defs</t>
        </is>
      </c>
      <c r="L53" s="7" t="inlineStr">
        <is>
          <t>2026-09-14</t>
        </is>
      </c>
      <c r="M53" s="8" t="inlineStr">
        <is>
          <t>2026-09-15</t>
        </is>
      </c>
      <c r="N53" s="8" t="n"/>
    </row>
    <row r="54">
      <c r="A54" s="7" t="inlineStr">
        <is>
          <t>H4</t>
        </is>
      </c>
      <c r="B54" s="7" t="inlineStr">
        <is>
          <t>Occurrence profiles (LLM)</t>
        </is>
      </c>
      <c r="C54" s="7" t="inlineStr">
        <is>
          <t>The rule 'apply every site whose structural condition is satisfied' leaves combinations v2 does not settle, e.g. INDEX and RHS_OPERAND together for &lt;array&gt;(&lt;element&gt; + 1).</t>
        </is>
      </c>
      <c r="D54" s="7" t="inlineStr">
        <is>
          <t>v2 INDEX: the element is not part of the value. v2 RHS_OPERAND: joined by operators on the right-hand side. Read literally, both match. Not present in boot_rom; not yet looked for in trng or cache. Related to A15. 2026-09-14: decided in the rulebook (conflict rule 6): INDEX is written together with every other SITE the same occurrence matches (WHEN_EXPR, WHEN_COND, IF_COND, or RHS_OPERAND for an operator inside the position); INDEX alone for a bare position on a plain right-hand side. Follows v2 literally, because v2 wins over the rulebook. Not found in trng or cache by a line search (when-else form). Run 5 (2026-09-15): an element that is the position inside an assignment target, e.g. acc_idx in valid_mem(to_integer(unsigned(acc_idx))) &lt;= '0', got LHS_PROC + INDEX in 7 entries. The first audit called it undecided; the run-5 review confirmed it as wrong (INDEX alone, by the LHS_PROC trigger 'the element is the target'). The two reviews disagree, so the rulebook does not settle it. Evidence: occurrence_profiles_v2/_audit_2026-09-15_run5. Run 6: 0 of 662 entries tag a position inside a target's parentheses as the target, at classify and at validate (run 5: 7). The rule wording fixed it at classify; no CODE CHECK item was needed. Run 6 (rulebook 34d10274b852, classify 6f4f22e256e3, validate f4082229020d, 20 calls, $0.78); review of all 662 entries by 7 reviewers and 7 skeptics: occurrence_profiles_v2/_audit_2026-09-16_run6.</t>
        </is>
      </c>
      <c r="E54" s="7" t="inlineStr">
        <is>
          <t>Reasoning</t>
        </is>
      </c>
      <c r="F54" s="7" t="inlineStr">
        <is>
          <t>Medium</t>
        </is>
      </c>
      <c r="G54" s="7" t="inlineStr">
        <is>
          <t>Medium</t>
        </is>
      </c>
      <c r="H54" s="7" t="inlineStr">
        <is>
          <t>Decided by you 2026-09-15: a position inside a target's parentheses gets no LHS_PROC / LHS_CONC; its add-on SITEs are written alone (rulebook 34d10274b852, annotate_rules rules 7, 8, 12, STEP 6). The parse cell counts it and validate gets a CODE CHECK item (self-tested on neorv32_cache.vhd 383 and neorv32_fifo.vhd 150).</t>
        </is>
      </c>
      <c r="I54" s="7" t="inlineStr">
        <is>
          <t>Parse cell: 'positions inside a target's parentheses tagged LHS_PROC or LHS_CONC' (run 5 under the new check: 7 of 657 at classify and at validate).</t>
        </is>
      </c>
      <c r="J54" s="8" t="inlineStr">
        <is>
          <t>Closed</t>
        </is>
      </c>
      <c r="K54" s="8" t="inlineStr">
        <is>
          <t>-</t>
        </is>
      </c>
      <c r="L54" s="7" t="inlineStr">
        <is>
          <t>2026-09-14</t>
        </is>
      </c>
      <c r="M54" s="8" t="inlineStr">
        <is>
          <t>2026-09-16</t>
        </is>
      </c>
      <c r="N54" s="8" t="n"/>
    </row>
    <row r="55">
      <c r="A55" s="7" t="inlineStr">
        <is>
          <t>H5</t>
        </is>
      </c>
      <c r="B55" s="7" t="inlineStr">
        <is>
          <t>Occurrence profiles (LLM)</t>
        </is>
      </c>
      <c r="C55" s="7" t="inlineStr">
        <is>
          <t>The code line check reads lines, not statements: two occurrences on one line count once, and its exclusions (left of =&gt;, component declaration, record type declaration) are regex rules.</t>
        </is>
      </c>
      <c r="D55" s="7" t="inlineStr">
        <is>
          <t>Self-test passes: all 21 boot_rom elements' lines equal the expected file's lines, and four hand-written cases cover the exclusions. 2026-09-15 (external audit): the line check hid a real merge: bus_req_i at trng 171 has three occurrences (.stb, .rw, .addr) and one entry at every step. Counting per match (self-tested on boot_rom, 45 of 45): trng+cache has 662 occurrences, 42 lost: 40 on whole missed lines, 2 merged at that one line. The line-based function never feeds the model. 2026-09-15: parse cell now counts occurrences per line (self-tested: boot_rom 45) and reports merged ones; mitigation built, not yet run. 2026-09-15 run: occurrence-level check (self-tested) reports 0 missed and 0 merged in validate; bus_req_i at trng 171 now 3 entries.</t>
        </is>
      </c>
      <c r="E55" s="7" t="inlineStr">
        <is>
          <t>Measured (self-test in the checks cell)</t>
        </is>
      </c>
      <c r="F55" s="7" t="inlineStr">
        <is>
          <t>Medium</t>
        </is>
      </c>
      <c r="G55" s="7" t="inlineStr">
        <is>
          <t>Low</t>
        </is>
      </c>
      <c r="H55" s="7" t="inlineStr">
        <is>
          <t>Count occurrences per line (matches, same exclusions) against entries per line, and report merged occurrences separately from missed lines.</t>
        </is>
      </c>
      <c r="I55" s="7" t="inlineStr">
        <is>
          <t>Checks cell prints 'line-check self-test: PASS'.</t>
        </is>
      </c>
      <c r="J55" s="8" t="inlineStr">
        <is>
          <t>Mitigated</t>
        </is>
      </c>
      <c r="K55" s="8" t="inlineStr">
        <is>
          <t>Me</t>
        </is>
      </c>
      <c r="L55" s="7" t="inlineStr">
        <is>
          <t>2026-09-14</t>
        </is>
      </c>
      <c r="M55" s="8" t="inlineStr">
        <is>
          <t>2026-09-15</t>
        </is>
      </c>
      <c r="N55" s="8" t="n"/>
    </row>
    <row r="56">
      <c r="A56" s="7" t="inlineStr">
        <is>
          <t>H6</t>
        </is>
      </c>
      <c r="B56" s="7" t="inlineStr">
        <is>
          <t>Occurrence profiles (LLM)</t>
        </is>
      </c>
      <c r="C56" s="7" t="inlineStr">
        <is>
          <t>CASE_EXPR and CASE_COND exist only in rulebook.json (added_sites), not in v2. Deleting the rulebook rebuilds it without them and without the hand edits; editing v2 changes sites_sha and blocks the rulebook.</t>
        </is>
      </c>
      <c r="D56" s="7" t="inlineStr">
        <is>
          <t>Rulebook b189af961721: 17 SITE rules (15 from v2 + 2 added), usable. CASE_EXPR: 16 case statements in 8 files (e.g. neorv32_cache.vhd line 164; none in neorv32_trng). CASE_COND: no attribute inside a choice anywhere in the corpus, so it has no line here; an element alone as a choice fails to compile (ModelSim vcom-1937). 2026-09-14: the rulebook is now the only taxonomy in the classify and validate prompts; a v2 edit shows as a review note instead of blocking. 2026-09-15: now 6 added sites; every change from v2 is logged with reasoning in occurrence_prompts_v2/RULEBOOK_CHANGELOG.md, with scripts, old versions and ModelSim tests in rulebook_edits/.</t>
        </is>
      </c>
      <c r="E56" s="7" t="inlineStr">
        <is>
          <t>Measured (corpus grep, ModelSim compile, notebook rulebook check)</t>
        </is>
      </c>
      <c r="F56" s="7" t="inlineStr">
        <is>
          <t>Medium</t>
        </is>
      </c>
      <c r="G56" s="7" t="inlineStr">
        <is>
          <t>Medium</t>
        </is>
      </c>
      <c r="H56" s="7" t="inlineStr">
        <is>
          <t>Keep the rulebook as the source of truth for annotation; update its sites_sha by hand after a v2 edit; never delete rulebook.json (step 1 would rebuild it from v2 without the hand edits).</t>
        </is>
      </c>
      <c r="I56" s="7" t="inlineStr">
        <is>
          <t>Rulebook cell prints the added SITEs. After a v2 edit: PROBLEM line naming both shas.</t>
        </is>
      </c>
      <c r="J56" s="8" t="inlineStr">
        <is>
          <t>Open</t>
        </is>
      </c>
      <c r="K56" s="8" t="inlineStr">
        <is>
          <t>You - decide whether to move them into v2</t>
        </is>
      </c>
      <c r="L56" s="7" t="inlineStr">
        <is>
          <t>2026-09-14</t>
        </is>
      </c>
      <c r="M56" s="8" t="inlineStr">
        <is>
          <t>2026-09-15</t>
        </is>
      </c>
      <c r="N56" s="8" t="n"/>
    </row>
    <row r="57">
      <c r="A57" s="7" t="inlineStr">
        <is>
          <t>H7</t>
        </is>
      </c>
      <c r="B57" s="7" t="inlineStr">
        <is>
          <t>Occurrence profiles (LLM)</t>
        </is>
      </c>
      <c r="C57" s="7" t="inlineStr">
        <is>
          <t>A Context names what a signal or branch is for (e.g. 'the reset branch'). The line and SITE scores cannot see it, and validate does not remove it.</t>
        </is>
      </c>
      <c r="D57" s="7" t="inlineStr">
        <is>
          <t>boot_rom run: rden @ line 58 'branch opened by IF_COND at lines 57-58 (the reset branch)' in classify and validate, 1 of 45 Contexts each. 'reset' appears in none of the model's inputs (prompts, rulebook, source, closed set, extract answer); comments holding it were blanked. Likely from the name rstn_i and the async-reset shape (reasoning: reasoning tokens are not returned). trng+cache: 9 of 620 validate Contexts flagged; 7 real ('the reset branch' / 'in reset branch'), 2 false positives: the process label 'synchronizer' (the check should ignore labels). 2026-09-15 run: 0 of 662 validate Contexts flagged (classify 18). Run 5: the word list flagged 28 of 657 classify Roles and 1 of 657 validate Roles. The review of all 657 validate Roles confirmed 8 that say what something is for: 7 use 'initialization', which is not on the list, and 1 uses 'reset'. So the list caught 1 of 8. Evidence: occurrence_profiles_v2/_audit_2026-09-15_run5. 2026-09-16: on run-5 validate Roles the extended list finds all 8 the review confirmed. Run 6: 10 of 661 classify Roles and 1 of 662 validate Roles hold a word from the list; the review of all 662 confirmed exactly 1 (sample_sreg at 357, 'reset'). Run 5 was 8 confirmed, of which the list caught 1. Run 6 (rulebook 34d10274b852, classify 6f4f22e256e3, validate f4082229020d, 20 calls, $0.78); review of all 662 entries by 7 reviewers and 7 skeptics: occurrence_profiles_v2/_audit_2026-09-16_run6.</t>
        </is>
      </c>
      <c r="E57" s="7" t="inlineStr">
        <is>
          <t>Measured (search of every input) + reasoning</t>
        </is>
      </c>
      <c r="F57" s="7" t="inlineStr">
        <is>
          <t>Medium</t>
        </is>
      </c>
      <c r="G57" s="7" t="inlineStr">
        <is>
          <t>Medium</t>
        </is>
      </c>
      <c r="H57" s="7" t="inlineStr">
        <is>
          <t>'initialization' and 'initialisation' added to the word list (self-tested on a run-5 Role); the parse line now prints the list's sha, so counts from different lists are not compared by mistake.</t>
        </is>
      </c>
      <c r="I57" s="7" t="inlineStr">
        <is>
          <t>Parse cell: 'Contexts with a design word' per step after the trng + cache run. If frequent, add a prompt rule and re-run boot_rom.</t>
        </is>
      </c>
      <c r="J57" s="8" t="inlineStr">
        <is>
          <t>Mitigated - verify on new modules</t>
        </is>
      </c>
      <c r="K57" s="8" t="inlineStr">
        <is>
          <t>You - read the count after each run</t>
        </is>
      </c>
      <c r="L57" s="7" t="inlineStr">
        <is>
          <t>2026-09-14</t>
        </is>
      </c>
      <c r="M57" s="8" t="inlineStr">
        <is>
          <t>2026-09-16</t>
        </is>
      </c>
      <c r="N57" s="8" t="n"/>
    </row>
    <row r="58">
      <c r="A58" s="7" t="inlineStr">
        <is>
          <t>H8</t>
        </is>
      </c>
      <c r="B58" s="7" t="inlineStr">
        <is>
          <t>Occurrence profiles (LLM)</t>
        </is>
      </c>
      <c r="C58" s="7" t="inlineStr">
        <is>
          <t>Classify drops occurrences: base FIELD_USE entries of record bases used on many lines, and repeated identical statements. Validate does not restore them.</t>
        </is>
      </c>
      <c r="D58" s="7" t="inlineStr">
        <is>
          <t>trng+cache: occurrence lines with no entry: extract 24, classify 39, validate 39, of 636 (checker self-tested; lines, not statements). Of the 39: host_req_i 13, ctrl_nxt 9, ctrl 6 (base FIELD_USE); ctrl_nxt.state at 196, 203, 248 and bus_req_o.stb at 202 (same text as earlier lines); host_req_i and bus_rsp_i in the four-name sensitivity list at cache 133. Extract had 17 of the 39; classify dropped them. Every one read by hand. 2026-09-15 measures built (not yet run): extract gives each occurrence an Occurrence ID and Name As Written; classify must return one entry per inventory ID; parse lists inventory IDs with no entry and occurrence counts; validate receives a CODE CHECK list of lines with fewer entries than occurrences. Run with rulebook cab0c37b2720 + occurrence IDs + CODE CHECK: validate 0 of 662 occurrences with no entry (classify 26, of which 5 merged), 0 inventory IDs with no entry, no line with more entries than occurrences. Run 5: classify dropped 5 of 34 ctrl_nxt occurrences (the FIELD_USE entries on lines 181-184 and 220) and numbered the rest 1-29, so IDs 15-29 sit on the lines of inventory IDs 20-34. The CODE CHECK list matched by ID and told validate that IDs 30-34 on lines 246-265 had no entry, although those lines have entries. It also said, correctly, that lines 181-184 and 220 had none. Validate changed nothing. The contradictory items come from my checker, not from the model. Evidence: occurrence_profiles_v2/_audit_2026-09-15_run5. 2026-09-16: on run-5 answers the new check lists exactly the 5 missing ctrl_nxt lines (181-184, 220) and the 15 renumbered entries, with no contradictory item. Evidence: occurrence_prompts_v2/rulebook_edits/run5fix_review (review, diffs, smoke test on run-5 answers). Run 6: 0 entries with an ID problem, 0 added, and 1 of 662 occurrences missing at classify (bus_rsp_i at 243); validate added it from the CODE CHECK, so validate holds all 662. Run 5 was 15 ID problems and 5 missing, never fixed. Run 6 (rulebook 34d10274b852, classify 6f4f22e256e3, validate f4082229020d, 20 calls, $0.78); review of all 662 entries by 7 reviewers and 7 skeptics: occurrence_profiles_v2/_audit_2026-09-16_run6.</t>
        </is>
      </c>
      <c r="E58" s="7" t="inlineStr">
        <is>
          <t>Measured (code check + reading each source line)</t>
        </is>
      </c>
      <c r="F58" s="7" t="inlineStr">
        <is>
          <t>High</t>
        </is>
      </c>
      <c r="G58" s="7" t="inlineStr">
        <is>
          <t>Medium</t>
        </is>
      </c>
      <c r="H58" s="7" t="inlineStr">
        <is>
          <t>The CODE CHECK now compares entries with the inventory line by line: missing entries with the IDs no entry carries, IDs that belong to another line, repeated IDs, IDs that are not whole numbers, and IDs above the inventory's (an added occurrence, not an error). The diff cell pairs entries inside each line, so an ID validate corrects still counts. Found by the review of the first fix: a repeated ID was silent and a text ID gave a self-contradicting item; both fixed and tested.</t>
        </is>
      </c>
      <c r="I58" s="7" t="inlineStr">
        <is>
          <t>Parse cell: occurrence lines with no entry after the change (39 now).</t>
        </is>
      </c>
      <c r="J58" s="8" t="inlineStr">
        <is>
          <t>Mitigated - verify on new modules</t>
        </is>
      </c>
      <c r="K58" s="8" t="inlineStr">
        <is>
          <t>You - read the counts after each run</t>
        </is>
      </c>
      <c r="L58" s="7" t="inlineStr">
        <is>
          <t>2026-09-15</t>
        </is>
      </c>
      <c r="M58" s="8" t="inlineStr">
        <is>
          <t>2026-09-16</t>
        </is>
      </c>
      <c r="N58" s="8" t="n"/>
    </row>
    <row r="59">
      <c r="A59" s="7" t="inlineStr">
        <is>
          <t>H9</t>
        </is>
      </c>
      <c r="B59" s="7" t="inlineStr">
        <is>
          <t>Occurrence profiles (LLM)</t>
        </is>
      </c>
      <c r="C59" s="7" t="inlineStr">
        <is>
          <t>Context spans and structures are wrong in 164 of 707 final entries (23%). Tags and occurrences are near-perfect, so this is now the main accuracy gap.</t>
        </is>
      </c>
      <c r="D59" s="7" t="inlineStr">
        <is>
          <t>Audit 2026-09-15 (22-agent review + skeptic, all 707 entries; evidence in occurrence_profiles_v2/_audit_2026-09-15): 105 span, 59 structure, 3 other Context errors confirmed. Code cross-checks agree: 40 of 40 code-found span errors, 54 of 165 branch-enclosed LHS_PROC/IF_COND/EDGE_CHECK entries with no correct branch span, 24 declarative parts starting on the header line, all also confirmed by the review. Tags: 1 error in 698 decided entries; 9 rulebook-undecided. Final occurrence set equals the code's for 163 of 163 elements. Probe 2026-09-15 (structures only, 4 trng/cache entities, 956 structures, spans trimmed to shown lines): worked examples numbered 140-147 gave 935/956 correct, lettered 916/956; 0 example spans copied in either; every miss was a branch. Run 5 on trng/cache, code-exact (the whole Structure must equal the finder's): classify 465 of 657 entries, validate 609 of 657. Validate fixed 146 of the 192 wrong Structures on its list, left 46 wrong and broke 2 that classify had right. The audit's branch measure fell from 54 of 165 (first audit, boot_rom included) to 16 of 150 at classify and 1 of 150 at validate, so the check named in 'How to check' did not falsify the change. The model's errors follow patterns: a branch that takes in its end if line (412-429, 96-122), a case that ends on the end process line (164-268, 61 entries), and single-branch if statements left out deep inside case alternatives. On every disputed structure I read the source by hand, and the finder was right each time. Evidence: occurrence_profiles_v2/_audit_2026-09-15_run5. 2026-09-16: render on run-5 answers takes 657 of 657 structures from the finder; 48 of them differ from the model's, the same 48 the parse cell counts. Run 6: Structure exact at validate 640 of 662 (96.7%; run 5 609 of 657, 92.7%), at classify 476 of 661 (72.0%; run 5 465 of 657, 70.8%). Validate fixed 164 of 185 listed mismatches. The 22 that remain are 16 where whole structures are left out and 5 with a wrong line or opener, almost all in the cache FSM (ctrl_nxt, ctrl_nxt.state) in the 66-item batch 2. The tables take the finder's structures, so the Context a reader sees is exact. Run 6 (rulebook 34d10274b852, classify 6f4f22e256e3, validate f4082229020d, 20 calls, $0.78); review of all 662 entries by 7 reviewers and 7 skeptics: occurrence_profiles_v2/_audit_2026-09-16_run6.</t>
        </is>
      </c>
      <c r="E59" s="7" t="inlineStr">
        <is>
          <t>Measured (review + code cross-check)</t>
        </is>
      </c>
      <c r="F59" s="7" t="inlineStr">
        <is>
          <t>High</t>
        </is>
      </c>
      <c r="G59" s="7" t="inlineStr">
        <is>
          <t>High</t>
        </is>
      </c>
      <c r="H59" s="7" t="inlineStr">
        <is>
          <t>Decided 2026-09-15: the final tables take the finder's structures; the model's Structure stays in the answers and is scored (classify and validate). Rows where the finder cannot be used are marked. Tables go to occurrence_profiles_v2/tables/&lt;classify sha&gt;_&lt;validate sha&gt;/, so runs no longer overwrite each other's tables (run-4 and run-5 tables copied into their audit folders).</t>
        </is>
      </c>
      <c r="I59" s="7" t="inlineStr">
        <is>
          <t>Parse cell: 'entries whose Structure equals the source's' at classify (the model alone) and at validate.</t>
        </is>
      </c>
      <c r="J59" s="8" t="inlineStr">
        <is>
          <t>Open</t>
        </is>
      </c>
      <c r="K59" s="8" t="inlineStr">
        <is>
          <t>You - decide whether classify's structures matter</t>
        </is>
      </c>
      <c r="L59" s="7" t="inlineStr">
        <is>
          <t>2026-09-15</t>
        </is>
      </c>
      <c r="M59" s="8" t="inlineStr">
        <is>
          <t>2026-09-16</t>
        </is>
      </c>
      <c r="N59" s="8" t="n"/>
    </row>
    <row r="60">
      <c r="A60" s="7" t="inlineStr">
        <is>
          <t>H10</t>
        </is>
      </c>
      <c r="B60" s="7" t="inlineStr">
        <is>
          <t>Occurrence profiles (LLM)</t>
        </is>
      </c>
      <c r="C60" s="7" t="inlineStr">
        <is>
          <t>Field elements get FIELD_USE, a tag only a record base may get. The rulebook states it plainly, no code check looks for it, and validate changed no tag at all.</t>
        </is>
      </c>
      <c r="D60" s="7" t="inlineStr">
        <is>
          <t>Run 5: 25 entries of the fields ctrl.buf_req, ctrl.buf_sync, ctrl.buf_err, ctrl.buf_dir, ctrl.tag, ctrl.idx and ctrl.ofs in cache batch 2 (20 elements, 110 CODE CHECK items) got FIELD_USE instead of LHS_PROC, RHS_OPERAND or IF_COND. The audited run had 24 of these right. The review found all 25 and the skeptic confirmed them. The rulebook edit to 1df37b88a29b removed only the process-lines sentence from FIELD_USE. Evidence: occurrence_profiles_v2/_audit_2026-09-15_run5. 2026-09-16: on run-5 answers the check finds 25 of 657 at classify and validate, the 25 the review confirmed. Run 6: 0 of 662 FIELD_USE entries sit on an occurrence not written &lt;element&gt;.&lt;field&gt;, at classify and at validate (run 5: 25). Run 6 (rulebook 34d10274b852, classify 6f4f22e256e3, validate f4082229020d, 20 calls, $0.78); review of all 662 entries by 7 reviewers and 7 skeptics: occurrence_profiles_v2/_audit_2026-09-16_run6.</t>
        </is>
      </c>
      <c r="E60" s="7" t="inlineStr">
        <is>
          <t>Measured (review + code comparison with the audited run)</t>
        </is>
      </c>
      <c r="F60" s="7" t="inlineStr">
        <is>
          <t>Medium</t>
        </is>
      </c>
      <c r="G60" s="7" t="inlineStr">
        <is>
          <t>High</t>
        </is>
      </c>
      <c r="H60" s="7" t="inlineStr">
        <is>
          <t>Code check added: FIELD_USE on an occurrence not written &lt;element&gt;.&lt;field&gt;, per occurrence where the entry carries its line's ID (exact), per line otherwise. Parse count and CODE CHECK item naming the wrong IDs.</t>
        </is>
      </c>
      <c r="I60" s="7" t="inlineStr">
        <is>
          <t>Parse cell: 'FIELD_USE entries on an occurrence not written &lt;element&gt;.&lt;field&gt;' (25 in run 5).</t>
        </is>
      </c>
      <c r="J60" s="8" t="inlineStr">
        <is>
          <t>Closed</t>
        </is>
      </c>
      <c r="K60" s="8" t="inlineStr">
        <is>
          <t>-</t>
        </is>
      </c>
      <c r="L60" s="7" t="inlineStr">
        <is>
          <t>2026-09-15</t>
        </is>
      </c>
      <c r="M60" s="8" t="inlineStr">
        <is>
          <t>2026-09-16</t>
        </is>
      </c>
    </row>
    <row r="61">
      <c r="A61" s="7" t="inlineStr">
        <is>
          <t>H11</t>
        </is>
      </c>
      <c r="B61" s="7" t="inlineStr">
        <is>
          <t>Rulebook</t>
        </is>
      </c>
      <c r="C61" s="7" t="inlineStr">
        <is>
          <t>The rulebook contradicts itself on PART_SELECT: a slice that is the whole right-hand side gets PART_SELECT alone (your decision), but CHECK 8 in annotate_rules.md and a conflict rule carried over from v2 say PART_SELECT is always recorded together with a primary SITE.</t>
        </is>
      </c>
      <c r="D61" s="7" t="inlineStr">
        <is>
          <t>Run 5: host_req_i.addr at cache lines 180 and 181, `ctrl_nxt.tag &lt;= host_req_i.addr(31 downto 32-tag_size_c);`, got DIRR_ASS + PART_SELECT. The audited run had PART_SELECT alone. Conflict rule: 'PART_SELECT is always recorded together with the site of the occurrence it appears in'. Evidence: occurrence_profiles_v2/_audit_2026-09-15_run5. 2026-09-16: of 9 whole-right-hand-side slices in run 5, the 2 wrong ones are the only 2 on a record field (host_req_i.addr, 180-181); the new check finds exactly those 2. Run 6: 0 of 662 whole-right-hand-side slices carry another SITE (run 5: 2, both on a record field). Run 6 (rulebook 34d10274b852, classify 6f4f22e256e3, validate f4082229020d, 20 calls, $0.78); review of all 662 entries by 7 reviewers and 7 skeptics: occurrence_profiles_v2/_audit_2026-09-16_run6.</t>
        </is>
      </c>
      <c r="E61" s="7" t="inlineStr">
        <is>
          <t>Measured (review) + reasoning (cause)</t>
        </is>
      </c>
      <c r="F61" s="7" t="inlineStr">
        <is>
          <t>Medium</t>
        </is>
      </c>
      <c r="G61" s="7" t="inlineStr">
        <is>
          <t>Medium</t>
        </is>
      </c>
      <c r="H61" s="7" t="inlineStr">
        <is>
          <t>Reworded (your go-ahead 2026-09-15): conflict rule 7, CHECK 8, section F rule 14; and, after the review, the field rules (DECL_FIELD exclusion 0, conflict rule 8, rule 13, CHECK 13), which still implied a primary SITE next to PART_SELECT on a field. Rulebook 34d10274b852. Parse count and CODE CHECK item for a whole-right-hand-side slice not tagged PART_SELECT alone (self-tested on neorv32_cache.vhd 367 and 180).</t>
        </is>
      </c>
      <c r="I61" s="7" t="inlineStr">
        <is>
          <t>Parse cell: 'whole-right-hand-side slices not tagged PART_SELECT alone' (2 in run 5).</t>
        </is>
      </c>
      <c r="J61" s="8" t="inlineStr">
        <is>
          <t>Closed</t>
        </is>
      </c>
      <c r="K61" s="8" t="inlineStr">
        <is>
          <t>-</t>
        </is>
      </c>
      <c r="L61" s="7" t="inlineStr">
        <is>
          <t>2026-09-15</t>
        </is>
      </c>
      <c r="M61" s="8" t="inlineStr">
        <is>
          <t>2026-09-16</t>
        </is>
      </c>
    </row>
    <row r="62">
      <c r="A62" s="7" t="inlineStr">
        <is>
          <t>H12</t>
        </is>
      </c>
      <c r="B62" s="7" t="inlineStr">
        <is>
          <t>Occurrence profiles (LLM)</t>
        </is>
      </c>
      <c r="C62" s="7" t="inlineStr">
        <is>
          <t>Roles state false facts or leave out details that section G requires. No code checks Roles except the word list.</t>
        </is>
      </c>
      <c r="D62" s="7" t="inlineStr">
        <is>
          <t>Run 5 review of all 657 validate Roles, skeptic-verified: 23 state a false fact, e.g. the port-map actual cache_o.cmd_clr named with formal rstn_i where cache line 283 reads clr_i =&gt; cache_o.cmd_clr, and ctrl_nxt Roles shifted onto the wrong field after the ID renumbering. 49 lack a required detail, mostly base FIELD_USE Roles that name the field but not the statement (30 in cache batches 0-1). Evidence: occurrence_profiles_v2/_audit_2026-09-15_run5. 2026-09-16: not addressed by the run-5 fixes, except the word list (H7). Run 6 review: 19 of 662 entries have a Role defect (run 5: 75 of 657). 16 lack a required detail: 15 DECL_FIELD Roles do not say whether the record type is declared in this source or outside it (run 5: 0 - a regression), and 1 PART_SELECT Role does not give the range. 2 state a false fact, 1 uses a purpose word. A regex over the Roles finds the same 15 DECL_FIELD cases, so a code check would catch that cluster. Run 6 (rulebook 34d10274b852, classify 6f4f22e256e3, validate f4082229020d, 20 calls, $0.78); review of all 662 entries by 7 reviewers and 7 skeptics: occurrence_profiles_v2/_audit_2026-09-16_run6.</t>
        </is>
      </c>
      <c r="E62" s="7" t="inlineStr">
        <is>
          <t>Measured (review; a lower bound)</t>
        </is>
      </c>
      <c r="F62" s="7" t="inlineStr">
        <is>
          <t>High</t>
        </is>
      </c>
      <c r="G62" s="7" t="inlineStr">
        <is>
          <t>Medium</t>
        </is>
      </c>
      <c r="H62" s="7" t="inlineStr">
        <is>
          <t>Code can check part: the formal named for an actual, and the field named for FIELD_USE, both read from the line. The rest needs review.</t>
        </is>
      </c>
      <c r="I62" s="7" t="inlineStr">
        <is>
          <t>Re-review the Roles after the next run: 23 false facts, 49 missing details now.</t>
        </is>
      </c>
      <c r="J62" s="8" t="inlineStr">
        <is>
          <t>Open</t>
        </is>
      </c>
      <c r="K62" s="8" t="inlineStr">
        <is>
          <t>You - choose the fix</t>
        </is>
      </c>
      <c r="L62" s="7" t="inlineStr">
        <is>
          <t>2026-09-15</t>
        </is>
      </c>
      <c r="M62" s="8" t="inlineStr">
        <is>
          <t>2026-09-16</t>
        </is>
      </c>
    </row>
    <row r="63">
      <c r="A63" s="7" t="inlineStr">
        <is>
          <t>H13</t>
        </is>
      </c>
      <c r="B63" s="7" t="inlineStr">
        <is>
          <t>Occurrence profiles (LLM)</t>
        </is>
      </c>
      <c r="C63" s="7" t="inlineStr">
        <is>
          <t>A target of a concurrent assignment can be tagged DIRR_ASS (the whole right-hand side) instead of LHS_CONC. No code check compares an entry's tag with the side of &lt;= the occurrence is on.</t>
        </is>
      </c>
      <c r="D63" s="7" t="inlineStr">
        <is>
          <t>Run 6: neoTRNG line 342, debias_data &lt;= debias_sreg(0);, tagged DIRR_ASS with a Role saying 'whole right-hand side'. The only tag error the review confirmed in 662 entries. Run 5 had this entry right. Run 6 (rulebook 34d10274b852, classify 6f4f22e256e3, validate f4082229020d, 20 calls, $0.78); review of all 662 entries by 7 reviewers and 7 skeptics: occurrence_profiles_v2/_audit_2026-09-16_run6.</t>
        </is>
      </c>
      <c r="E63" s="7" t="inlineStr">
        <is>
          <t>Measured (review, skeptic-verified)</t>
        </is>
      </c>
      <c r="F63" s="7" t="inlineStr">
        <is>
          <t>Low</t>
        </is>
      </c>
      <c r="G63" s="7" t="inlineStr">
        <is>
          <t>Medium</t>
        </is>
      </c>
      <c r="H63" s="7" t="inlineStr">
        <is>
          <t>A code check can decide it: the program already finds the target of an assignment (the name before &lt;= at depth 0, used by the target-position check). Flag an entry on the target that is not LHS_PROC / LHS_CONC, and an entry off the target tagged LHS_PROC / LHS_CONC.</t>
        </is>
      </c>
      <c r="I63" s="7" t="inlineStr">
        <is>
          <t>After the next run: entries whose tag disagrees with the side of &lt;= (1 in run 6).</t>
        </is>
      </c>
      <c r="J63" s="8" t="inlineStr">
        <is>
          <t>Open</t>
        </is>
      </c>
      <c r="K63" s="8" t="inlineStr">
        <is>
          <t>Me - after your go-ahead</t>
        </is>
      </c>
      <c r="L63" s="7" t="inlineStr">
        <is>
          <t>2026-09-16</t>
        </is>
      </c>
      <c r="M63" s="8" t="inlineStr">
        <is>
          <t>2026-09-16</t>
        </is>
      </c>
    </row>
    <row r="64">
      <c r="A64" s="7" t="inlineStr">
        <is>
          <t>H14</t>
        </is>
      </c>
      <c r="B64" s="7" t="inlineStr">
        <is>
          <t>Occurrence profiles (LLM)</t>
        </is>
      </c>
      <c r="C64" s="7" t="inlineStr">
        <is>
          <t>Classify's own structural accuracy did not improve (72.0% of entries exact, run 5 70.8%), and on the stricter measure it got worse (36 of 152 entries inside a branch with no correct enclosing one, run 5 16 of 150). The pipeline's structural accuracy therefore rests on the code finder and validate, not on the model.</t>
        </is>
      </c>
      <c r="D64" s="7" t="inlineStr">
        <is>
          <t>Run 6 vs run 5, same entities and inventory: classify 476 of 661 vs 465 of 657 exact. Section D and the worked examples were unchanged between the two runs; the prompt grew from 59,330 to 62,904 characters. One sample per run, so part of the difference is run-to-run variation. Run 6 (rulebook 34d10274b852, classify 6f4f22e256e3, validate f4082229020d, 20 calls, $0.78); review of all 662 entries by 7 reviewers and 7 skeptics: occurrence_profiles_v2/_audit_2026-09-16_run6.</t>
        </is>
      </c>
      <c r="E64" s="7" t="inlineStr">
        <is>
          <t>Measured (code, exact) + reasoning (cause)</t>
        </is>
      </c>
      <c r="F64" s="7" t="inlineStr">
        <is>
          <t>High</t>
        </is>
      </c>
      <c r="G64" s="7" t="inlineStr">
        <is>
          <t>Medium</t>
        </is>
      </c>
      <c r="H64" s="7" t="inlineStr">
        <is>
          <t>Either accept it (the tables use the finder's structures) or reduce what the model must find: give the model the structures and ask only for the Role and the tags. That would remove the model-structure measure.</t>
        </is>
      </c>
      <c r="I64" s="7" t="inlineStr">
        <is>
          <t>Classify structure accuracy per kind after the next run; the branch measure.</t>
        </is>
      </c>
      <c r="J64" s="8" t="inlineStr">
        <is>
          <t>Decision needed</t>
        </is>
      </c>
      <c r="K64" s="8" t="inlineStr">
        <is>
          <t>You - accept, or move structures out of the model's job</t>
        </is>
      </c>
      <c r="L64" s="7" t="inlineStr">
        <is>
          <t>2026-09-16</t>
        </is>
      </c>
      <c r="M64" s="8" t="inlineStr">
        <is>
          <t>2026-09-16</t>
        </is>
      </c>
    </row>
  </sheetData>
  <autoFilter ref="A12:N50"/>
  <conditionalFormatting sqref="G13:G48">
    <cfRule type="expression" priority="5" dxfId="4">
      <formula>$G13="High"</formula>
    </cfRule>
  </conditionalFormatting>
  <conditionalFormatting sqref="J13:J48">
    <cfRule type="expression" priority="1" dxfId="3">
      <formula>$J13="Open"</formula>
    </cfRule>
    <cfRule type="expression" priority="2" dxfId="2">
      <formula>$J13="Decision needed"</formula>
    </cfRule>
    <cfRule type="expression" priority="3" dxfId="1">
      <formula>LEFT($J13,9)="Mitigated"</formula>
    </cfRule>
    <cfRule type="expression" priority="4" dxfId="0">
      <formula>$J13="Standing rule"</formula>
    </cfRule>
  </conditionalFormatting>
  <conditionalFormatting sqref="J49:J50">
    <cfRule type="expression" priority="6" dxfId="5">
      <formula>$J49="Open"</formula>
    </cfRule>
    <cfRule type="expression" priority="7" dxfId="6">
      <formula>$J49="Decision needed"</formula>
    </cfRule>
    <cfRule type="expression" priority="8" dxfId="7">
      <formula>LEFT($J49,9)="Mitigated"</formula>
    </cfRule>
  </conditionalFormatting>
  <conditionalFormatting sqref="G49:G50">
    <cfRule type="expression" priority="9" dxfId="8">
      <formula>$G49="High"</formula>
    </cfRule>
  </conditionalFormatting>
  <conditionalFormatting sqref="J51:J64">
    <cfRule type="expression" priority="6" dxfId="5">
      <formula>$J51="Open"</formula>
    </cfRule>
    <cfRule type="expression" priority="7" dxfId="6">
      <formula>$J51="Decision needed"</formula>
    </cfRule>
    <cfRule type="expression" priority="8" dxfId="7">
      <formula>LEFT($J51,9)="Mitigated"</formula>
    </cfRule>
  </conditionalFormatting>
  <conditionalFormatting sqref="G51:G64">
    <cfRule type="expression" priority="9" dxfId="8">
      <formula>$G51="High"</formula>
    </cfRule>
  </conditionalFormatting>
  <dataValidations count="2">
    <dataValidation sqref="J13:J48 J49:J50 J51:J64" showDropDown="0" showInputMessage="0" showErrorMessage="0" allowBlank="0" type="list">
      <formula1>"Open,Decision needed,Mitigated - verify after run,Mitigated - reuse at each cutover,Standing rule,Closed"</formula1>
    </dataValidation>
    <dataValidation sqref="F13:G48 F49:G50 F51:G64" showDropDown="0" showInputMessage="0" showErrorMessage="0" allowBlank="0" type="list">
      <formula1>"High,Medium,Low,n/a"</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2026-09-11T11:32:20Z</dcterms:created>
  <dcterms:modified xmlns:dcterms="http://purl.org/dc/terms/" xmlns:xsi="http://www.w3.org/2001/XMLSchema-instance" xsi:type="dcterms:W3CDTF">2026-09-16T04:13:21Z</dcterms:modified>
  <cp:lastModifiedBy>Sumaiya Salekin</cp:lastModifiedBy>
</cp:coreProperties>
</file>